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rug Categories" sheetId="2" state="visible" r:id="rId4"/>
    <sheet name="Payer ID Reference" sheetId="3" state="visible" r:id="rId5"/>
    <sheet name="Calculation Templ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<sst xmlns="http://schemas.openxmlformats.org/spreadsheetml/2006/main" count="141" uniqueCount="99">
  <si>
    <t xml:space="preserve">Ravenswood Rheumatology - AWP-Based Reimbursement Analysis</t>
  </si>
  <si>
    <t xml:space="preserve">January 2026 | Assumes standard Medicare Part D pricing for Medicare B patients</t>
  </si>
  <si>
    <t xml:space="preserve">PAYER MIX SUMMARY</t>
  </si>
  <si>
    <t xml:space="preserve">Payer Category</t>
  </si>
  <si>
    <t xml:space="preserve">Est. Claims</t>
  </si>
  <si>
    <t xml:space="preserve">% Mix</t>
  </si>
  <si>
    <t xml:space="preserve">Reimbursement Basis</t>
  </si>
  <si>
    <t xml:space="preserve">Medicare Part D (Standalone PDP)</t>
  </si>
  <si>
    <t xml:space="preserve">23%</t>
  </si>
  <si>
    <t xml:space="preserve">AWP - 15% (brand/specialty), AWP - 80% (generic)</t>
  </si>
  <si>
    <t xml:space="preserve">Medicare Part D (MA-PD)</t>
  </si>
  <si>
    <t xml:space="preserve">17%</t>
  </si>
  <si>
    <t xml:space="preserve">Commercial</t>
  </si>
  <si>
    <t xml:space="preserve">51%</t>
  </si>
  <si>
    <t xml:space="preserve">AWP - 16% (brand), AWP - 14% (specialty), MAC (generic)</t>
  </si>
  <si>
    <t xml:space="preserve">IL Medicaid MCO</t>
  </si>
  <si>
    <t xml:space="preserve">3%</t>
  </si>
  <si>
    <t xml:space="preserve">AWP - 22% (brand), AWP - 20% (specialty), NADAC-based (generic)</t>
  </si>
  <si>
    <t xml:space="preserve">Self Pay</t>
  </si>
  <si>
    <t xml:space="preserve">5%</t>
  </si>
  <si>
    <t xml:space="preserve">AWP / U&amp;C</t>
  </si>
  <si>
    <t xml:space="preserve">Unknown/Null</t>
  </si>
  <si>
    <t xml:space="preserve">1%</t>
  </si>
  <si>
    <t xml:space="preserve">TBD - verify payer</t>
  </si>
  <si>
    <t xml:space="preserve">TOTAL</t>
  </si>
  <si>
    <t xml:space="preserve">100%</t>
  </si>
  <si>
    <t xml:space="preserve">AWP-BASED REIMBURSEMENT MATRIX</t>
  </si>
  <si>
    <t xml:space="preserve">Generic</t>
  </si>
  <si>
    <t xml:space="preserve">Brand</t>
  </si>
  <si>
    <t xml:space="preserve">Specialty</t>
  </si>
  <si>
    <t xml:space="preserve">Medicare Part D (All)</t>
  </si>
  <si>
    <t xml:space="preserve">AWP × 0.20</t>
  </si>
  <si>
    <t xml:space="preserve">AWP × 0.85</t>
  </si>
  <si>
    <t xml:space="preserve">AWP × 0.15 (or MAC)</t>
  </si>
  <si>
    <t xml:space="preserve">AWP × 0.84</t>
  </si>
  <si>
    <t xml:space="preserve">AWP × 0.86</t>
  </si>
  <si>
    <t xml:space="preserve">AWP × 0.15 (NADAC)</t>
  </si>
  <si>
    <t xml:space="preserve">AWP × 0.78</t>
  </si>
  <si>
    <t xml:space="preserve">AWP × 0.80</t>
  </si>
  <si>
    <t xml:space="preserve">AWP × 1.00</t>
  </si>
  <si>
    <t xml:space="preserve">QUICK REFERENCE - AWP MULTIPLIERS</t>
  </si>
  <si>
    <t xml:space="preserve">Generic Mult</t>
  </si>
  <si>
    <t xml:space="preserve">Brand Mult</t>
  </si>
  <si>
    <t xml:space="preserve">Specialty Mult</t>
  </si>
  <si>
    <t xml:space="preserve">Medicare Part D</t>
  </si>
  <si>
    <t xml:space="preserve">FORMULA: Estimated Reimbursement = AWP × Multiplier</t>
  </si>
  <si>
    <t xml:space="preserve">Example: Humira AWP $7,200 × 0.85 (Medicare D Specialty) = $6,120 estimated reimbursement</t>
  </si>
  <si>
    <t xml:space="preserve">Example: Methotrexate AWP $25 × 0.20 (Medicare D Generic) = $5.00 estimated reimbursement</t>
  </si>
  <si>
    <t xml:space="preserve">DRUG CLASSIFICATION FOR REIMBURSEMENT</t>
  </si>
  <si>
    <t xml:space="preserve">Category</t>
  </si>
  <si>
    <t xml:space="preserve">AWP Multiplier Range</t>
  </si>
  <si>
    <t xml:space="preserve">Common Drugs in Your Data</t>
  </si>
  <si>
    <t xml:space="preserve">0.15 - 0.20</t>
  </si>
  <si>
    <t xml:space="preserve">Methotrexate, Hydroxychloroquine Sulfate, Prednisone, Allopurinol, Sulfasalazine, Leflunomide, Folic Acid, Meloxicam, Gabapentin, Cyclobenzaprine, Colchicine, Azathioprine, Mycophenolate Mofetil</t>
  </si>
  <si>
    <t xml:space="preserve">0.78 - 0.85</t>
  </si>
  <si>
    <t xml:space="preserve">Plaquenil, Arava, Medrol, Januvia, Lipitor, CeleBREX, Uloric, Mitigare, Imuran, Evoxac, Fosamax, Pepcid</t>
  </si>
  <si>
    <t xml:space="preserve">0.80 - 0.86</t>
  </si>
  <si>
    <t xml:space="preserve">Humira, Enbrel, Cosentyx, Taltz, Stelara, Rinvoq, Xeljanz, Orencia, Actemra, Otezla, Rasuvo, Cimzia, Benlysta, Bimzelx, Tremfya, Hyrimoz, Simlandi</t>
  </si>
  <si>
    <t xml:space="preserve">PAYER ID PREFIX MAPPING</t>
  </si>
  <si>
    <t xml:space="preserve">Prefix Pattern</t>
  </si>
  <si>
    <t xml:space="preserve">Payer</t>
  </si>
  <si>
    <t xml:space="preserve">AWP Multiplier to Use</t>
  </si>
  <si>
    <t xml:space="preserve">H#### (e.g., H6040, H0698)</t>
  </si>
  <si>
    <t xml:space="preserve">Humana Medicare Advantage</t>
  </si>
  <si>
    <t xml:space="preserve">Brand: 0.85, Spec: 0.85, Gen: 0.20</t>
  </si>
  <si>
    <t xml:space="preserve">XOG## (e.g., XOG90, XOG91)</t>
  </si>
  <si>
    <t xml:space="preserve">Blue Cross Community (Medicaid)</t>
  </si>
  <si>
    <t xml:space="preserve">Brand: 0.78, Spec: 0.80, Gen: 0.15</t>
  </si>
  <si>
    <t xml:space="preserve">XOF##, XOX##, XOU## (e.g., XOF84)</t>
  </si>
  <si>
    <t xml:space="preserve">BCBS of Illinois Commercial</t>
  </si>
  <si>
    <t xml:space="preserve">Brand: 0.84, Spec: 0.86, Gen: 0.15</t>
  </si>
  <si>
    <t xml:space="preserve">XOD##, XOJ## (e.g., XOD80, JLX80)</t>
  </si>
  <si>
    <t xml:space="preserve">BC Medicare Advantage</t>
  </si>
  <si>
    <t xml:space="preserve">W#### (e.g., W2673, W1905)</t>
  </si>
  <si>
    <t xml:space="preserve">Aetna Commercial</t>
  </si>
  <si>
    <t xml:space="preserve">U#### (e.g., U9038, U7324)</t>
  </si>
  <si>
    <t xml:space="preserve">Cigna Commercial</t>
  </si>
  <si>
    <t xml:space="preserve">9####, 0#### (e.g., 95404, 00062)</t>
  </si>
  <si>
    <t xml:space="preserve">United Healthcare Commercial</t>
  </si>
  <si>
    <t xml:space="preserve">1#### (e.g., 10124, 10163)</t>
  </si>
  <si>
    <t xml:space="preserve">3####, 5#### (Medicare ID format)</t>
  </si>
  <si>
    <t xml:space="preserve">Medicare Part B patient</t>
  </si>
  <si>
    <t xml:space="preserve">Medicare Part D (assume PDP)</t>
  </si>
  <si>
    <t xml:space="preserve">null / blank</t>
  </si>
  <si>
    <t xml:space="preserve">Unknown</t>
  </si>
  <si>
    <t xml:space="preserve">Verify</t>
  </si>
  <si>
    <t xml:space="preserve">TBD</t>
  </si>
  <si>
    <t xml:space="preserve">REIMBURSEMENT CALCULATION TEMPLATE</t>
  </si>
  <si>
    <t xml:space="preserve">Paste your data below and add AWP column - formulas will calculate estimated reimbursement</t>
  </si>
  <si>
    <t xml:space="preserve">Drug Name</t>
  </si>
  <si>
    <t xml:space="preserve">Drug Category</t>
  </si>
  <si>
    <t xml:space="preserve">AWP</t>
  </si>
  <si>
    <t xml:space="preserve">Multiplier</t>
  </si>
  <si>
    <t xml:space="preserve">Est. Reimbursement</t>
  </si>
  <si>
    <t xml:space="preserve">Humira 40mg</t>
  </si>
  <si>
    <t xml:space="preserve">Methotrexate 2.5mg</t>
  </si>
  <si>
    <t xml:space="preserve">Plaquenil 200mg</t>
  </si>
  <si>
    <t xml:space="preserve">Enbrel 50mg</t>
  </si>
  <si>
    <t xml:space="preserve">Prednisone 5mg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</si>
</sst>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4F81BD"/>
      </patternFill>
    </fill>
    <fill>
      <patternFill patternType="solid">
        <fgColor rgb="FF4F81BD"/>
        <bgColor rgb="FF366092"/>
      </patternFill>
    </fill>
    <fill>
      <patternFill patternType="solid">
        <fgColor rgb="FF76933C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6933C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0" t="n">
        <v>380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0" t="n">
        <v>290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0" t="n">
        <v>850</v>
      </c>
      <c r="C8" s="0" t="s">
        <v>13</v>
      </c>
      <c r="D8" s="0" t="s">
        <v>14</v>
      </c>
    </row>
    <row r="9" customFormat="false" ht="15" hidden="false" customHeight="false" outlineLevel="0" collapsed="false">
      <c r="A9" s="0" t="s">
        <v>15</v>
      </c>
      <c r="B9" s="0" t="n">
        <v>45</v>
      </c>
      <c r="C9" s="0" t="s">
        <v>16</v>
      </c>
      <c r="D9" s="0" t="s">
        <v>17</v>
      </c>
    </row>
    <row r="10" customFormat="false" ht="15" hidden="false" customHeight="false" outlineLevel="0" collapsed="false">
      <c r="A10" s="0" t="s">
        <v>18</v>
      </c>
      <c r="B10" s="0" t="n">
        <v>85</v>
      </c>
      <c r="C10" s="0" t="s">
        <v>19</v>
      </c>
      <c r="D10" s="0" t="s">
        <v>20</v>
      </c>
    </row>
    <row r="11" customFormat="false" ht="15" hidden="false" customHeight="false" outlineLevel="0" collapsed="false">
      <c r="A11" s="0" t="s">
        <v>21</v>
      </c>
      <c r="B11" s="0" t="n">
        <v>25</v>
      </c>
      <c r="C11" s="0" t="s">
        <v>22</v>
      </c>
      <c r="D11" s="0" t="s">
        <v>23</v>
      </c>
    </row>
    <row r="12" customFormat="false" ht="15" hidden="false" customHeight="false" outlineLevel="0" collapsed="false">
      <c r="A12" s="4" t="s">
        <v>24</v>
      </c>
      <c r="B12" s="5" t="n">
        <f aca="false">SUM(B6:B11)</f>
        <v>1675</v>
      </c>
      <c r="C12" s="5" t="s">
        <v>25</v>
      </c>
    </row>
    <row r="15" customFormat="false" ht="15" hidden="false" customHeight="false" outlineLevel="0" collapsed="false">
      <c r="A15" s="2" t="s">
        <v>26</v>
      </c>
    </row>
    <row r="16" customFormat="false" ht="15" hidden="false" customHeight="false" outlineLevel="0" collapsed="false">
      <c r="A16" s="6" t="s">
        <v>3</v>
      </c>
      <c r="B16" s="6" t="s">
        <v>27</v>
      </c>
      <c r="C16" s="6" t="s">
        <v>28</v>
      </c>
      <c r="D16" s="6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32</v>
      </c>
      <c r="D17" s="0" t="s">
        <v>32</v>
      </c>
    </row>
    <row r="18" customFormat="false" ht="15" hidden="false" customHeight="false" outlineLevel="0" collapsed="false">
      <c r="A18" s="0" t="s">
        <v>12</v>
      </c>
      <c r="B18" s="0" t="s">
        <v>33</v>
      </c>
      <c r="C18" s="0" t="s">
        <v>34</v>
      </c>
      <c r="D18" s="0" t="s">
        <v>35</v>
      </c>
    </row>
    <row r="19" customFormat="false" ht="15" hidden="false" customHeight="false" outlineLevel="0" collapsed="false">
      <c r="A19" s="0" t="s">
        <v>15</v>
      </c>
      <c r="B19" s="0" t="s">
        <v>36</v>
      </c>
      <c r="C19" s="0" t="s">
        <v>37</v>
      </c>
      <c r="D19" s="0" t="s">
        <v>38</v>
      </c>
    </row>
    <row r="20" customFormat="false" ht="15" hidden="false" customHeight="false" outlineLevel="0" collapsed="false">
      <c r="A20" s="0" t="s">
        <v>18</v>
      </c>
      <c r="B20" s="0" t="s">
        <v>39</v>
      </c>
      <c r="C20" s="0" t="s">
        <v>39</v>
      </c>
      <c r="D20" s="0" t="s">
        <v>39</v>
      </c>
    </row>
    <row r="23" customFormat="false" ht="15" hidden="false" customHeight="false" outlineLevel="0" collapsed="false">
      <c r="A23" s="2" t="s">
        <v>40</v>
      </c>
    </row>
    <row r="24" customFormat="false" ht="15" hidden="false" customHeight="false" outlineLevel="0" collapsed="false">
      <c r="A24" s="7" t="s">
        <v>3</v>
      </c>
      <c r="B24" s="7" t="s">
        <v>41</v>
      </c>
      <c r="C24" s="7" t="s">
        <v>42</v>
      </c>
      <c r="D24" s="7" t="s">
        <v>43</v>
      </c>
    </row>
    <row r="25" customFormat="false" ht="15" hidden="false" customHeight="false" outlineLevel="0" collapsed="false">
      <c r="A25" s="0" t="s">
        <v>44</v>
      </c>
      <c r="B25" s="0" t="n">
        <v>0.2</v>
      </c>
      <c r="C25" s="0" t="n">
        <v>0.85</v>
      </c>
      <c r="D25" s="0" t="n">
        <v>0.85</v>
      </c>
    </row>
    <row r="26" customFormat="false" ht="15" hidden="false" customHeight="false" outlineLevel="0" collapsed="false">
      <c r="A26" s="0" t="s">
        <v>12</v>
      </c>
      <c r="B26" s="0" t="n">
        <v>0.15</v>
      </c>
      <c r="C26" s="0" t="n">
        <v>0.84</v>
      </c>
      <c r="D26" s="0" t="n">
        <v>0.86</v>
      </c>
    </row>
    <row r="27" customFormat="false" ht="15" hidden="false" customHeight="false" outlineLevel="0" collapsed="false">
      <c r="A27" s="0" t="s">
        <v>15</v>
      </c>
      <c r="B27" s="0" t="n">
        <v>0.15</v>
      </c>
      <c r="C27" s="0" t="n">
        <v>0.78</v>
      </c>
      <c r="D27" s="0" t="n">
        <v>0.8</v>
      </c>
    </row>
    <row r="28" customFormat="false" ht="15" hidden="false" customHeight="false" outlineLevel="0" collapsed="false">
      <c r="A28" s="0" t="s">
        <v>18</v>
      </c>
      <c r="B28" s="0" t="n">
        <v>1</v>
      </c>
      <c r="C28" s="0" t="n">
        <v>1</v>
      </c>
      <c r="D28" s="0" t="n">
        <v>1</v>
      </c>
    </row>
    <row r="31" customFormat="false" ht="15" hidden="false" customHeight="false" outlineLevel="0" collapsed="false">
      <c r="A31" s="4" t="s">
        <v>45</v>
      </c>
    </row>
    <row r="32" customFormat="false" ht="15" hidden="false" customHeight="false" outlineLevel="0" collapsed="false">
      <c r="A32" s="0" t="s">
        <v>46</v>
      </c>
    </row>
    <row r="33" customFormat="false" ht="15" hidden="false" customHeight="false" outlineLevel="0" collapsed="false">
      <c r="A33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3" t="s">
        <v>49</v>
      </c>
      <c r="B3" s="3" t="s">
        <v>50</v>
      </c>
      <c r="C3" s="3" t="s">
        <v>51</v>
      </c>
    </row>
    <row r="4" customFormat="false" ht="15" hidden="false" customHeight="false" outlineLevel="0" collapsed="false">
      <c r="A4" s="0" t="s">
        <v>27</v>
      </c>
      <c r="B4" s="0" t="s">
        <v>52</v>
      </c>
      <c r="C4" s="0" t="s">
        <v>53</v>
      </c>
    </row>
    <row r="5" customFormat="false" ht="15" hidden="false" customHeight="false" outlineLevel="0" collapsed="false">
      <c r="A5" s="0" t="s">
        <v>28</v>
      </c>
      <c r="B5" s="0" t="s">
        <v>54</v>
      </c>
      <c r="C5" s="0" t="s">
        <v>55</v>
      </c>
    </row>
    <row r="6" customFormat="false" ht="15" hidden="false" customHeight="false" outlineLevel="0" collapsed="false">
      <c r="A6" s="0" t="s">
        <v>29</v>
      </c>
      <c r="B6" s="0" t="s">
        <v>56</v>
      </c>
      <c r="C6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49</v>
      </c>
      <c r="D3" s="3" t="s">
        <v>61</v>
      </c>
    </row>
    <row r="4" customFormat="false" ht="15" hidden="false" customHeight="false" outlineLevel="0" collapsed="false">
      <c r="A4" s="0" t="s">
        <v>62</v>
      </c>
      <c r="B4" s="0" t="s">
        <v>63</v>
      </c>
      <c r="C4" s="0" t="s">
        <v>10</v>
      </c>
      <c r="D4" s="0" t="s">
        <v>64</v>
      </c>
    </row>
    <row r="5" customFormat="false" ht="15" hidden="false" customHeight="false" outlineLevel="0" collapsed="false">
      <c r="A5" s="0" t="s">
        <v>65</v>
      </c>
      <c r="B5" s="0" t="s">
        <v>66</v>
      </c>
      <c r="C5" s="0" t="s">
        <v>15</v>
      </c>
      <c r="D5" s="0" t="s">
        <v>67</v>
      </c>
    </row>
    <row r="6" customFormat="false" ht="15" hidden="false" customHeight="false" outlineLevel="0" collapsed="false">
      <c r="A6" s="0" t="s">
        <v>68</v>
      </c>
      <c r="B6" s="0" t="s">
        <v>69</v>
      </c>
      <c r="C6" s="0" t="s">
        <v>12</v>
      </c>
      <c r="D6" s="0" t="s">
        <v>70</v>
      </c>
    </row>
    <row r="7" customFormat="false" ht="15" hidden="false" customHeight="false" outlineLevel="0" collapsed="false">
      <c r="A7" s="0" t="s">
        <v>71</v>
      </c>
      <c r="B7" s="0" t="s">
        <v>72</v>
      </c>
      <c r="C7" s="0" t="s">
        <v>10</v>
      </c>
      <c r="D7" s="0" t="s">
        <v>64</v>
      </c>
    </row>
    <row r="8" customFormat="false" ht="15" hidden="false" customHeight="false" outlineLevel="0" collapsed="false">
      <c r="A8" s="0" t="s">
        <v>73</v>
      </c>
      <c r="B8" s="0" t="s">
        <v>74</v>
      </c>
      <c r="C8" s="0" t="s">
        <v>12</v>
      </c>
      <c r="D8" s="0" t="s">
        <v>70</v>
      </c>
    </row>
    <row r="9" customFormat="false" ht="15" hidden="false" customHeight="false" outlineLevel="0" collapsed="false">
      <c r="A9" s="0" t="s">
        <v>75</v>
      </c>
      <c r="B9" s="0" t="s">
        <v>76</v>
      </c>
      <c r="C9" s="0" t="s">
        <v>12</v>
      </c>
      <c r="D9" s="0" t="s">
        <v>70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12</v>
      </c>
      <c r="D10" s="0" t="s">
        <v>70</v>
      </c>
    </row>
    <row r="11" customFormat="false" ht="15" hidden="false" customHeight="false" outlineLevel="0" collapsed="false">
      <c r="A11" s="0" t="s">
        <v>79</v>
      </c>
      <c r="B11" s="0" t="s">
        <v>74</v>
      </c>
      <c r="C11" s="0" t="s">
        <v>12</v>
      </c>
      <c r="D11" s="0" t="s">
        <v>70</v>
      </c>
    </row>
    <row r="12" customFormat="false" ht="15" hidden="false" customHeight="false" outlineLevel="0" collapsed="false">
      <c r="A12" s="0" t="s">
        <v>80</v>
      </c>
      <c r="B12" s="0" t="s">
        <v>81</v>
      </c>
      <c r="C12" s="0" t="s">
        <v>82</v>
      </c>
      <c r="D12" s="0" t="s">
        <v>64</v>
      </c>
    </row>
    <row r="13" customFormat="false" ht="15" hidden="false" customHeight="false" outlineLevel="0" collapsed="false">
      <c r="A13" s="0" t="s">
        <v>83</v>
      </c>
      <c r="B13" s="0" t="s">
        <v>84</v>
      </c>
      <c r="C13" s="0" t="s">
        <v>85</v>
      </c>
      <c r="D13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0" t="s">
        <v>88</v>
      </c>
    </row>
    <row r="4" customFormat="false" ht="15" hidden="false" customHeight="false" outlineLevel="0" collapsed="false">
      <c r="A4" s="3" t="s">
        <v>89</v>
      </c>
      <c r="B4" s="3" t="s">
        <v>90</v>
      </c>
      <c r="C4" s="3" t="s">
        <v>3</v>
      </c>
      <c r="D4" s="3" t="s">
        <v>91</v>
      </c>
      <c r="E4" s="3" t="s">
        <v>92</v>
      </c>
      <c r="F4" s="3" t="s">
        <v>93</v>
      </c>
    </row>
    <row r="5" customFormat="false" ht="15" hidden="false" customHeight="false" outlineLevel="0" collapsed="false">
      <c r="A5" s="0" t="s">
        <v>94</v>
      </c>
      <c r="B5" s="0" t="s">
        <v>29</v>
      </c>
      <c r="C5" s="0" t="s">
        <v>44</v>
      </c>
      <c r="D5" s="0" t="n">
        <v>7200</v>
      </c>
      <c r="E5" s="0" t="n">
        <f aca="false">IF(AND(B5="Specialty",OR(C5="Medicare Part D",C5="Medicare Part D (MA-PD)")),0.85,IF(AND(B5="Brand",OR(C5="Medicare Part D",C5="Medicare Part D (MA-PD)")),0.85,IF(AND(B5="Generic",OR(C5="Medicare Part D",C5="Medicare Part D (MA-PD)")),0.2,IF(AND(B5="Specialty",C5="Commercial"),0.86,IF(AND(B5="Brand",C5="Commercial"),0.84,IF(AND(B5="Generic",C5="Commercial"),0.15,IF(AND(B5="Specialty",C5="IL Medicaid MCO"),0.8,IF(AND(B5="Brand",C5="IL Medicaid MCO"),0.78,IF(AND(B5="Generic",C5="IL Medicaid MCO"),0.15,1)))))))))</f>
        <v>0.85</v>
      </c>
      <c r="F5" s="0" t="n">
        <f aca="false">D5*E5</f>
        <v>6120</v>
      </c>
    </row>
    <row r="6" customFormat="false" ht="15" hidden="false" customHeight="false" outlineLevel="0" collapsed="false">
      <c r="A6" s="0" t="s">
        <v>95</v>
      </c>
      <c r="B6" s="0" t="s">
        <v>27</v>
      </c>
      <c r="C6" s="0" t="s">
        <v>44</v>
      </c>
      <c r="D6" s="0" t="n">
        <v>25</v>
      </c>
      <c r="E6" s="0" t="n">
        <f aca="false">IF(AND(B6="Specialty",OR(C6="Medicare Part D",C6="Medicare Part D (MA-PD)")),0.85,IF(AND(B6="Brand",OR(C6="Medicare Part D",C6="Medicare Part D (MA-PD)")),0.85,IF(AND(B6="Generic",OR(C6="Medicare Part D",C6="Medicare Part D (MA-PD)")),0.2,IF(AND(B6="Specialty",C6="Commercial"),0.86,IF(AND(B6="Brand",C6="Commercial"),0.84,IF(AND(B6="Generic",C6="Commercial"),0.15,IF(AND(B6="Specialty",C6="IL Medicaid MCO"),0.8,IF(AND(B6="Brand",C6="IL Medicaid MCO"),0.78,IF(AND(B6="Generic",C6="IL Medicaid MCO"),0.15,1)))))))))</f>
        <v>0.2</v>
      </c>
      <c r="F6" s="0" t="n">
        <f aca="false">D6*E6</f>
        <v>5</v>
      </c>
    </row>
    <row r="7" customFormat="false" ht="15" hidden="false" customHeight="false" outlineLevel="0" collapsed="false">
      <c r="A7" s="0" t="s">
        <v>96</v>
      </c>
      <c r="B7" s="0" t="s">
        <v>28</v>
      </c>
      <c r="C7" s="0" t="s">
        <v>12</v>
      </c>
      <c r="D7" s="0" t="n">
        <v>180</v>
      </c>
      <c r="E7" s="0" t="n">
        <f aca="false">IF(AND(B7="Specialty",OR(C7="Medicare Part D",C7="Medicare Part D (MA-PD)")),0.85,IF(AND(B7="Brand",OR(C7="Medicare Part D",C7="Medicare Part D (MA-PD)")),0.85,IF(AND(B7="Generic",OR(C7="Medicare Part D",C7="Medicare Part D (MA-PD)")),0.2,IF(AND(B7="Specialty",C7="Commercial"),0.86,IF(AND(B7="Brand",C7="Commercial"),0.84,IF(AND(B7="Generic",C7="Commercial"),0.15,IF(AND(B7="Specialty",C7="IL Medicaid MCO"),0.8,IF(AND(B7="Brand",C7="IL Medicaid MCO"),0.78,IF(AND(B7="Generic",C7="IL Medicaid MCO"),0.15,1)))))))))</f>
        <v>0.84</v>
      </c>
      <c r="F7" s="0" t="n">
        <f aca="false">D7*E7</f>
        <v>151.2</v>
      </c>
    </row>
    <row r="8" customFormat="false" ht="15" hidden="false" customHeight="false" outlineLevel="0" collapsed="false">
      <c r="A8" s="0" t="s">
        <v>97</v>
      </c>
      <c r="B8" s="0" t="s">
        <v>29</v>
      </c>
      <c r="C8" s="0" t="s">
        <v>12</v>
      </c>
      <c r="D8" s="0" t="n">
        <v>6800</v>
      </c>
      <c r="E8" s="0" t="n">
        <f aca="false">IF(AND(B8="Specialty",OR(C8="Medicare Part D",C8="Medicare Part D (MA-PD)")),0.85,IF(AND(B8="Brand",OR(C8="Medicare Part D",C8="Medicare Part D (MA-PD)")),0.85,IF(AND(B8="Generic",OR(C8="Medicare Part D",C8="Medicare Part D (MA-PD)")),0.2,IF(AND(B8="Specialty",C8="Commercial"),0.86,IF(AND(B8="Brand",C8="Commercial"),0.84,IF(AND(B8="Generic",C8="Commercial"),0.15,IF(AND(B8="Specialty",C8="IL Medicaid MCO"),0.8,IF(AND(B8="Brand",C8="IL Medicaid MCO"),0.78,IF(AND(B8="Generic",C8="IL Medicaid MCO"),0.15,1)))))))))</f>
        <v>0.86</v>
      </c>
      <c r="F8" s="0" t="n">
        <f aca="false">D8*E8</f>
        <v>5848</v>
      </c>
    </row>
    <row r="9" customFormat="false" ht="15" hidden="false" customHeight="false" outlineLevel="0" collapsed="false">
      <c r="A9" s="0" t="s">
        <v>98</v>
      </c>
      <c r="B9" s="0" t="s">
        <v>27</v>
      </c>
      <c r="C9" s="0" t="s">
        <v>15</v>
      </c>
      <c r="D9" s="0" t="n">
        <v>8</v>
      </c>
      <c r="E9" s="0" t="n">
        <f aca="false">IF(AND(B9="Specialty",OR(C9="Medicare Part D",C9="Medicare Part D (MA-PD)")),0.85,IF(AND(B9="Brand",OR(C9="Medicare Part D",C9="Medicare Part D (MA-PD)")),0.85,IF(AND(B9="Generic",OR(C9="Medicare Part D",C9="Medicare Part D (MA-PD)")),0.2,IF(AND(B9="Specialty",C9="Commercial"),0.86,IF(AND(B9="Brand",C9="Commercial"),0.84,IF(AND(B9="Generic",C9="Commercial"),0.15,IF(AND(B9="Specialty",C9="IL Medicaid MCO"),0.8,IF(AND(B9="Brand",C9="IL Medicaid MCO"),0.78,IF(AND(B9="Generic",C9="IL Medicaid MCO"),0.15,1)))))))))</f>
        <v>0.15</v>
      </c>
      <c r="F9" s="0" t="n">
        <f aca="false">D9*E9</f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2026-01-09T14:31:12Z</dcterms:created>
  <dc:creator>openpyxl</dc:creator>
  <dc:description/>
  <dc:language>en-US</dc:language>
  <cp:lastModifiedBy/>
  <dcterms:modified xsi:type="dcterms:W3CDTF">2026-01-09T14:31:12Z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