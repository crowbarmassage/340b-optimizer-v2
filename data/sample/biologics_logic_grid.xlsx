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logics Logic Grid" sheetId="1" state="visible" r:id="rId3"/>
    <sheet name="Fill Rat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<sst xmlns="http://schemas.openxmlformats.org/spreadsheetml/2006/main" count="809" uniqueCount="243">
  <si>
    <t xml:space="preserve">Drug Name</t>
  </si>
  <si>
    <t xml:space="preserve">Generic Name</t>
  </si>
  <si>
    <t xml:space="preserve">Manufacturer</t>
  </si>
  <si>
    <t xml:space="preserve">Therapeutic Class</t>
  </si>
  <si>
    <t xml:space="preserve">Indication</t>
  </si>
  <si>
    <t xml:space="preserve">ICD-10 Primary</t>
  </si>
  <si>
    <t xml:space="preserve">ICD-10 Range</t>
  </si>
  <si>
    <t xml:space="preserve">Specialty</t>
  </si>
  <si>
    <t xml:space="preserve">Route</t>
  </si>
  <si>
    <t xml:space="preserve">Loading Dose</t>
  </si>
  <si>
    <t xml:space="preserve">Loading Fills</t>
  </si>
  <si>
    <t xml:space="preserve">Maintenance Dose</t>
  </si>
  <si>
    <t xml:space="preserve">Maint Fills/Yr</t>
  </si>
  <si>
    <t xml:space="preserve">Year 1 Fills</t>
  </si>
  <si>
    <t xml:space="preserve">Year 2+ Fills</t>
  </si>
  <si>
    <t xml:space="preserve">Adj Y1 Fills</t>
  </si>
  <si>
    <t xml:space="preserve">Adj Y2+ Fills</t>
  </si>
  <si>
    <t xml:space="preserve">Notes</t>
  </si>
  <si>
    <t xml:space="preserve">Humira</t>
  </si>
  <si>
    <t xml:space="preserve">adalimumab</t>
  </si>
  <si>
    <t xml:space="preserve">AbbVie</t>
  </si>
  <si>
    <t xml:space="preserve">TNF Inhibitor</t>
  </si>
  <si>
    <t xml:space="preserve">Rheumatoid Arthritis</t>
  </si>
  <si>
    <t xml:space="preserve">M05</t>
  </si>
  <si>
    <t xml:space="preserve">M05.x, M06.x</t>
  </si>
  <si>
    <t xml:space="preserve">Rheumatology</t>
  </si>
  <si>
    <t xml:space="preserve">SC Self-Inject</t>
  </si>
  <si>
    <t xml:space="preserve">None</t>
  </si>
  <si>
    <t xml:space="preserve">40mg Q2W</t>
  </si>
  <si>
    <t xml:space="preserve">No loading dose required</t>
  </si>
  <si>
    <t xml:space="preserve">Psoriatic Arthritis</t>
  </si>
  <si>
    <t xml:space="preserve">L40.5</t>
  </si>
  <si>
    <t xml:space="preserve">L40.50-L40.59</t>
  </si>
  <si>
    <t xml:space="preserve">Plaque Psoriasis</t>
  </si>
  <si>
    <t xml:space="preserve">L40.0</t>
  </si>
  <si>
    <t xml:space="preserve">L40.0-L40.4</t>
  </si>
  <si>
    <t xml:space="preserve">Dermatology</t>
  </si>
  <si>
    <t xml:space="preserve">80mg x1</t>
  </si>
  <si>
    <t xml:space="preserve">80mg loading at Week 0, then 40mg at Week 1, then Q2W</t>
  </si>
  <si>
    <t xml:space="preserve">Crohn's Disease</t>
  </si>
  <si>
    <t xml:space="preserve">K50</t>
  </si>
  <si>
    <t xml:space="preserve">K50.x</t>
  </si>
  <si>
    <t xml:space="preserve">Gastroenterology</t>
  </si>
  <si>
    <t xml:space="preserve">160mg/80mg</t>
  </si>
  <si>
    <t xml:space="preserve">160mg Week 0 (4x40mg), 80mg Week 2 (2x40mg), then 40mg Q2W starting Week 4</t>
  </si>
  <si>
    <t xml:space="preserve">Ulcerative Colitis</t>
  </si>
  <si>
    <t xml:space="preserve">K51</t>
  </si>
  <si>
    <t xml:space="preserve">K51.x</t>
  </si>
  <si>
    <t xml:space="preserve">160mg Week 0, 80mg Week 2, then 40mg Q2W starting Week 4</t>
  </si>
  <si>
    <t xml:space="preserve">Hidradenitis Suppurativa</t>
  </si>
  <si>
    <t xml:space="preserve">L73.2</t>
  </si>
  <si>
    <t xml:space="preserve">40mg QW</t>
  </si>
  <si>
    <t xml:space="preserve">160mg Week 0, 80mg Week 2, then 40mg WEEKLY - highest fill rate indication</t>
  </si>
  <si>
    <t xml:space="preserve">Uveitis</t>
  </si>
  <si>
    <t xml:space="preserve">H20</t>
  </si>
  <si>
    <t xml:space="preserve">H20.x, H30.x</t>
  </si>
  <si>
    <t xml:space="preserve">Ophthalmology</t>
  </si>
  <si>
    <t xml:space="preserve">80mg loading, then 40mg Q2W starting Week 1</t>
  </si>
  <si>
    <t xml:space="preserve">Stelara</t>
  </si>
  <si>
    <t xml:space="preserve">ustekinumab</t>
  </si>
  <si>
    <t xml:space="preserve">Janssen</t>
  </si>
  <si>
    <t xml:space="preserve">IL-12/23 Inhibitor</t>
  </si>
  <si>
    <t xml:space="preserve">45mg x2</t>
  </si>
  <si>
    <t xml:space="preserve">45mg Q12W</t>
  </si>
  <si>
    <t xml:space="preserve">45mg Week 0, Week 4, then Q12W. 90mg for &gt;100kg patients</t>
  </si>
  <si>
    <t xml:space="preserve">45mg Week 0, Week 4, then Q12W</t>
  </si>
  <si>
    <t xml:space="preserve">IV then SC</t>
  </si>
  <si>
    <t xml:space="preserve">IV Weight-Based</t>
  </si>
  <si>
    <t xml:space="preserve">90mg Q8W SC</t>
  </si>
  <si>
    <t xml:space="preserve">IV induction (260-520mg weight-based), then 90mg SC Q8W - MEDICAL BENEFIT for IV portion</t>
  </si>
  <si>
    <t xml:space="preserve">IV induction, then 90mg SC Q8W - MEDICAL BENEFIT for IV portion</t>
  </si>
  <si>
    <t xml:space="preserve">Cosentyx</t>
  </si>
  <si>
    <t xml:space="preserve">secukinumab</t>
  </si>
  <si>
    <t xml:space="preserve">Novartis</t>
  </si>
  <si>
    <t xml:space="preserve">IL-17A Inhibitor</t>
  </si>
  <si>
    <t xml:space="preserve">300mg QW x5</t>
  </si>
  <si>
    <t xml:space="preserve">300mg Q4W</t>
  </si>
  <si>
    <t xml:space="preserve">300mg Weeks 0,1,2,3,4 then monthly. Heavy loading phase</t>
  </si>
  <si>
    <t xml:space="preserve">150mg QW x5</t>
  </si>
  <si>
    <t xml:space="preserve">150mg Q4W</t>
  </si>
  <si>
    <t xml:space="preserve">150mg loading x5, then monthly. Can escalate to 300mg</t>
  </si>
  <si>
    <t xml:space="preserve">Ankylosing Spondylitis</t>
  </si>
  <si>
    <t xml:space="preserve">M45</t>
  </si>
  <si>
    <t xml:space="preserve">M45.x</t>
  </si>
  <si>
    <t xml:space="preserve">With or without loading dose option</t>
  </si>
  <si>
    <t xml:space="preserve">Non-Radiographic Axial SpA</t>
  </si>
  <si>
    <t xml:space="preserve">M46.1</t>
  </si>
  <si>
    <t xml:space="preserve">M46.1, M46.8x</t>
  </si>
  <si>
    <t xml:space="preserve">Same dosing as AS</t>
  </si>
  <si>
    <t xml:space="preserve">Taltz</t>
  </si>
  <si>
    <t xml:space="preserve">ixekizumab</t>
  </si>
  <si>
    <t xml:space="preserve">Lilly</t>
  </si>
  <si>
    <t xml:space="preserve">160mg then Q2W x6</t>
  </si>
  <si>
    <t xml:space="preserve">80mg Q4W</t>
  </si>
  <si>
    <t xml:space="preserve">160mg Week 0, then 80mg Q2W Weeks 2-12, then Q4W. Very heavy Year 1</t>
  </si>
  <si>
    <t xml:space="preserve">160mg then Q4W</t>
  </si>
  <si>
    <t xml:space="preserve">160mg Week 0, then 80mg Q4W - simpler than psoriasis dosing</t>
  </si>
  <si>
    <t xml:space="preserve">80mg Q2W x4</t>
  </si>
  <si>
    <t xml:space="preserve">Optional loading: Q2W x4 then monthly</t>
  </si>
  <si>
    <t xml:space="preserve">Skyrizi</t>
  </si>
  <si>
    <t xml:space="preserve">risankizumab</t>
  </si>
  <si>
    <t xml:space="preserve">IL-23 Inhibitor</t>
  </si>
  <si>
    <t xml:space="preserve">150mg x2</t>
  </si>
  <si>
    <t xml:space="preserve">150mg Q12W</t>
  </si>
  <si>
    <t xml:space="preserve">150mg Week 0, Week 4, then Q12W - very low fill rate</t>
  </si>
  <si>
    <t xml:space="preserve">Same as psoriasis dosing</t>
  </si>
  <si>
    <t xml:space="preserve">600mg IV x3</t>
  </si>
  <si>
    <t xml:space="preserve">360mg SC Q8W</t>
  </si>
  <si>
    <t xml:space="preserve">IV induction 600mg Weeks 0,4,8 then SC 360mg Q8W - MEDICAL BENEFIT for IV portion</t>
  </si>
  <si>
    <t xml:space="preserve">1200mg IV x3</t>
  </si>
  <si>
    <t xml:space="preserve">180-360mg SC Q8W</t>
  </si>
  <si>
    <t xml:space="preserve">IV induction then SC maintenance - MEDICAL BENEFIT for IV portion</t>
  </si>
  <si>
    <t xml:space="preserve">Tremfya</t>
  </si>
  <si>
    <t xml:space="preserve">guselkumab</t>
  </si>
  <si>
    <t xml:space="preserve">100mg x2</t>
  </si>
  <si>
    <t xml:space="preserve">100mg Q8W</t>
  </si>
  <si>
    <t xml:space="preserve">100mg Week 0, Week 4, then Q8W</t>
  </si>
  <si>
    <t xml:space="preserve">Same as psoriasis</t>
  </si>
  <si>
    <t xml:space="preserve">Dupixent</t>
  </si>
  <si>
    <t xml:space="preserve">dupilumab</t>
  </si>
  <si>
    <t xml:space="preserve">Sanofi/Regeneron</t>
  </si>
  <si>
    <t xml:space="preserve">IL-4/IL-13 Inhibitor</t>
  </si>
  <si>
    <t xml:space="preserve">Atopic Dermatitis</t>
  </si>
  <si>
    <t xml:space="preserve">L20</t>
  </si>
  <si>
    <t xml:space="preserve">L20.x</t>
  </si>
  <si>
    <t xml:space="preserve">600mg x1</t>
  </si>
  <si>
    <t xml:space="preserve">300mg Q2W</t>
  </si>
  <si>
    <t xml:space="preserve">600mg (2x300mg) load then 300mg Q2W</t>
  </si>
  <si>
    <t xml:space="preserve">Asthma (Moderate-Severe)</t>
  </si>
  <si>
    <t xml:space="preserve">J45</t>
  </si>
  <si>
    <t xml:space="preserve">J45.x</t>
  </si>
  <si>
    <t xml:space="preserve">Pulmonology/Allergy</t>
  </si>
  <si>
    <t xml:space="preserve">400-600mg x1</t>
  </si>
  <si>
    <t xml:space="preserve">200-300mg Q2W</t>
  </si>
  <si>
    <t xml:space="preserve">Dose varies by weight and oral corticosteroid use</t>
  </si>
  <si>
    <t xml:space="preserve">Chronic Rhinosinusitis with Nasal Polyps</t>
  </si>
  <si>
    <t xml:space="preserve">J33</t>
  </si>
  <si>
    <t xml:space="preserve">J33.x, J32.x</t>
  </si>
  <si>
    <t xml:space="preserve">ENT/Allergy</t>
  </si>
  <si>
    <t xml:space="preserve">No loading dose for this indication</t>
  </si>
  <si>
    <t xml:space="preserve">Eosinophilic Esophagitis</t>
  </si>
  <si>
    <t xml:space="preserve">K20.0</t>
  </si>
  <si>
    <t xml:space="preserve">300mg QW</t>
  </si>
  <si>
    <t xml:space="preserve">WEEKLY dosing - highest fill rate indication for Dupixent</t>
  </si>
  <si>
    <t xml:space="preserve">Prurigo Nodularis</t>
  </si>
  <si>
    <t xml:space="preserve">L28.1</t>
  </si>
  <si>
    <t xml:space="preserve">Same as atopic dermatitis dosing</t>
  </si>
  <si>
    <t xml:space="preserve">COPD</t>
  </si>
  <si>
    <t xml:space="preserve">J44</t>
  </si>
  <si>
    <t xml:space="preserve">J44.x</t>
  </si>
  <si>
    <t xml:space="preserve">Pulmonology</t>
  </si>
  <si>
    <t xml:space="preserve">Type 2 inflammation COPD indication</t>
  </si>
  <si>
    <t xml:space="preserve">Entyvio</t>
  </si>
  <si>
    <t xml:space="preserve">vedolizumab</t>
  </si>
  <si>
    <t xml:space="preserve">Takeda</t>
  </si>
  <si>
    <t xml:space="preserve">Integrin Inhibitor</t>
  </si>
  <si>
    <t xml:space="preserve">IV Infusion</t>
  </si>
  <si>
    <t xml:space="preserve">300mg x3</t>
  </si>
  <si>
    <t xml:space="preserve">300mg Q8W</t>
  </si>
  <si>
    <t xml:space="preserve">IV 300mg Weeks 0,2,6 then Q8W - MEDICAL BENEFIT</t>
  </si>
  <si>
    <t xml:space="preserve">Entyvio SC</t>
  </si>
  <si>
    <t xml:space="preserve">Crohn's Disease (Maintenance)</t>
  </si>
  <si>
    <t xml:space="preserve">IV Induction Required</t>
  </si>
  <si>
    <t xml:space="preserve">108mg Q2W SC</t>
  </si>
  <si>
    <t xml:space="preserve">Requires IV induction first, then can switch to SC Q2W - PHARMACY BENEFIT for SC</t>
  </si>
  <si>
    <t xml:space="preserve">Ulcerative Colitis (Maintenance)</t>
  </si>
  <si>
    <t xml:space="preserve">Requires IV induction first, then SC maintenance - PHARMACY BENEFIT for SC</t>
  </si>
  <si>
    <t xml:space="preserve">Rinvoq</t>
  </si>
  <si>
    <t xml:space="preserve">upadacitinib</t>
  </si>
  <si>
    <t xml:space="preserve">JAK Inhibitor</t>
  </si>
  <si>
    <t xml:space="preserve">Oral</t>
  </si>
  <si>
    <t xml:space="preserve">15mg QD</t>
  </si>
  <si>
    <t xml:space="preserve">30-day supply fills, no loading</t>
  </si>
  <si>
    <t xml:space="preserve">30-day supply fills</t>
  </si>
  <si>
    <t xml:space="preserve">15-30mg QD</t>
  </si>
  <si>
    <t xml:space="preserve">Can dose escalate to 30mg</t>
  </si>
  <si>
    <t xml:space="preserve">45mg QD x8wks</t>
  </si>
  <si>
    <t xml:space="preserve">8-week induction at 45mg then step down - higher fill count Year 1</t>
  </si>
  <si>
    <t xml:space="preserve">45mg QD x12wks</t>
  </si>
  <si>
    <t xml:space="preserve">12-week induction at 45mg - longest oral induction</t>
  </si>
  <si>
    <t xml:space="preserve">No loading required</t>
  </si>
  <si>
    <t xml:space="preserve">Xeljanz</t>
  </si>
  <si>
    <t xml:space="preserve">tofacitinib</t>
  </si>
  <si>
    <t xml:space="preserve">Pfizer</t>
  </si>
  <si>
    <t xml:space="preserve">5mg BID or 11mg XR QD</t>
  </si>
  <si>
    <t xml:space="preserve">IR or XR formulation</t>
  </si>
  <si>
    <t xml:space="preserve">5mg BID</t>
  </si>
  <si>
    <t xml:space="preserve">Standard dosing</t>
  </si>
  <si>
    <t xml:space="preserve">10mg BID x8wks</t>
  </si>
  <si>
    <t xml:space="preserve">5-10mg BID</t>
  </si>
  <si>
    <t xml:space="preserve">Higher induction dose then step down</t>
  </si>
  <si>
    <t xml:space="preserve">Enbrel</t>
  </si>
  <si>
    <t xml:space="preserve">etanercept</t>
  </si>
  <si>
    <t xml:space="preserve">Amgen</t>
  </si>
  <si>
    <t xml:space="preserve">50mg QW</t>
  </si>
  <si>
    <t xml:space="preserve">Weekly dosing - high fill rate</t>
  </si>
  <si>
    <t xml:space="preserve">Weekly dosing</t>
  </si>
  <si>
    <t xml:space="preserve">50mg BIW x3mo</t>
  </si>
  <si>
    <t xml:space="preserve">TWICE weekly for 3 months then weekly - very heavy Year 1</t>
  </si>
  <si>
    <t xml:space="preserve">Cimzia</t>
  </si>
  <si>
    <t xml:space="preserve">certolizumab pegol</t>
  </si>
  <si>
    <t xml:space="preserve">UCB</t>
  </si>
  <si>
    <t xml:space="preserve">400mg x3</t>
  </si>
  <si>
    <t xml:space="preserve">200mg Q2W or 400mg Q4W</t>
  </si>
  <si>
    <t xml:space="preserve">400mg Weeks 0,2,4 then maintenance</t>
  </si>
  <si>
    <t xml:space="preserve">Same loading as RA</t>
  </si>
  <si>
    <t xml:space="preserve">400mg Q4W</t>
  </si>
  <si>
    <t xml:space="preserve">400mg maintenance Q4W for Crohn's</t>
  </si>
  <si>
    <t xml:space="preserve">400mg Q2W x3</t>
  </si>
  <si>
    <t xml:space="preserve">200mg Q2W</t>
  </si>
  <si>
    <t xml:space="preserve">Same structure as RA</t>
  </si>
  <si>
    <t xml:space="preserve">Simponi</t>
  </si>
  <si>
    <t xml:space="preserve">golimumab</t>
  </si>
  <si>
    <t xml:space="preserve">50mg Q4W</t>
  </si>
  <si>
    <t xml:space="preserve">Monthly dosing - SC formulation</t>
  </si>
  <si>
    <t xml:space="preserve">Simponi Aria</t>
  </si>
  <si>
    <t xml:space="preserve">2mg/kg x2</t>
  </si>
  <si>
    <t xml:space="preserve">2mg/kg Q8W</t>
  </si>
  <si>
    <t xml:space="preserve">IV formulation - MEDICAL BENEFIT. Weeks 0,4 then Q8W</t>
  </si>
  <si>
    <t xml:space="preserve">Monthly SC</t>
  </si>
  <si>
    <t xml:space="preserve">200mg/100mg</t>
  </si>
  <si>
    <t xml:space="preserve">100mg Q4W</t>
  </si>
  <si>
    <t xml:space="preserve">200mg Week 0, 100mg Week 2, then 100mg Q4W</t>
  </si>
  <si>
    <t xml:space="preserve">Remicade</t>
  </si>
  <si>
    <t xml:space="preserve">infliximab</t>
  </si>
  <si>
    <t xml:space="preserve">3mg/kg x3</t>
  </si>
  <si>
    <t xml:space="preserve">3mg/kg Q8W</t>
  </si>
  <si>
    <t xml:space="preserve">IV Weeks 0,2,6 then Q8W - MEDICAL BENEFIT</t>
  </si>
  <si>
    <t xml:space="preserve">5mg/kg x3</t>
  </si>
  <si>
    <t xml:space="preserve">5mg/kg Q8W</t>
  </si>
  <si>
    <t xml:space="preserve">Higher dose than RA</t>
  </si>
  <si>
    <t xml:space="preserve">Same as PsA dosing</t>
  </si>
  <si>
    <t xml:space="preserve">Can dose escalate to 10mg/kg</t>
  </si>
  <si>
    <t xml:space="preserve">Same as Crohn's</t>
  </si>
  <si>
    <t xml:space="preserve">5mg/kg Q6W</t>
  </si>
  <si>
    <t xml:space="preserve">Q6W maintenance - more frequent than other indications</t>
  </si>
  <si>
    <t xml:space="preserve">Drug</t>
  </si>
  <si>
    <t xml:space="preserve">Y1 Min Fills</t>
  </si>
  <si>
    <t xml:space="preserve">Y1 Max Fills</t>
  </si>
  <si>
    <t xml:space="preserve">Y2+ Min Fills</t>
  </si>
  <si>
    <t xml:space="preserve">Y2+ Max Fills</t>
  </si>
  <si>
    <t xml:space="preserve"># Indications</t>
  </si>
  <si>
    <t xml:space="preserve">Fill Rate Variance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</si>
</sst>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CE4D6"/>
        <bgColor rgb="FFFFFFFF"/>
      </patternFill>
    </fill>
    <fill>
      <patternFill patternType="solid">
        <fgColor rgb="FFF4B084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5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6" min="14" style="0" width="11"/>
    <col collapsed="false" customWidth="true" hidden="false" outlineLevel="0" max="17" min="17" style="0" width="12"/>
    <col collapsed="false" customWidth="true" hidden="false" outlineLevel="0" max="18" min="18" style="0" width="50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 t="n">
        <v>0</v>
      </c>
      <c r="L2" s="2" t="s">
        <v>28</v>
      </c>
      <c r="M2" s="3" t="n">
        <v>26</v>
      </c>
      <c r="N2" s="4" t="n">
        <v>26</v>
      </c>
      <c r="O2" s="3" t="n">
        <v>26</v>
      </c>
      <c r="P2" s="3" t="n">
        <v>22</v>
      </c>
      <c r="Q2" s="3" t="n">
        <v>24</v>
      </c>
      <c r="R2" s="2" t="s">
        <v>29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2" t="s">
        <v>30</v>
      </c>
      <c r="F3" s="2" t="s">
        <v>31</v>
      </c>
      <c r="G3" s="2" t="s">
        <v>32</v>
      </c>
      <c r="H3" s="2" t="s">
        <v>25</v>
      </c>
      <c r="I3" s="2" t="s">
        <v>26</v>
      </c>
      <c r="J3" s="2" t="s">
        <v>27</v>
      </c>
      <c r="K3" s="3" t="n">
        <v>0</v>
      </c>
      <c r="L3" s="2" t="s">
        <v>28</v>
      </c>
      <c r="M3" s="3" t="n">
        <v>26</v>
      </c>
      <c r="N3" s="4" t="n">
        <v>26</v>
      </c>
      <c r="O3" s="3" t="n">
        <v>26</v>
      </c>
      <c r="P3" s="3" t="n">
        <v>22</v>
      </c>
      <c r="Q3" s="3" t="n">
        <v>24</v>
      </c>
      <c r="R3" s="2" t="s">
        <v>29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26</v>
      </c>
      <c r="J4" s="2" t="s">
        <v>37</v>
      </c>
      <c r="K4" s="3" t="n">
        <v>1</v>
      </c>
      <c r="L4" s="2" t="s">
        <v>28</v>
      </c>
      <c r="M4" s="3" t="n">
        <v>26</v>
      </c>
      <c r="N4" s="4" t="n">
        <v>27</v>
      </c>
      <c r="O4" s="3" t="n">
        <v>26</v>
      </c>
      <c r="P4" s="3" t="n">
        <v>20</v>
      </c>
      <c r="Q4" s="3" t="n">
        <v>22</v>
      </c>
      <c r="R4" s="2" t="s">
        <v>38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21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26</v>
      </c>
      <c r="J5" s="2" t="s">
        <v>43</v>
      </c>
      <c r="K5" s="3" t="n">
        <v>3</v>
      </c>
      <c r="L5" s="2" t="s">
        <v>28</v>
      </c>
      <c r="M5" s="3" t="n">
        <v>26</v>
      </c>
      <c r="N5" s="4" t="n">
        <v>29</v>
      </c>
      <c r="O5" s="3" t="n">
        <v>26</v>
      </c>
      <c r="P5" s="3" t="n">
        <v>24</v>
      </c>
      <c r="Q5" s="3" t="n">
        <v>24</v>
      </c>
      <c r="R5" s="2" t="s">
        <v>44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20</v>
      </c>
      <c r="D6" s="2" t="s">
        <v>21</v>
      </c>
      <c r="E6" s="2" t="s">
        <v>45</v>
      </c>
      <c r="F6" s="2" t="s">
        <v>46</v>
      </c>
      <c r="G6" s="2" t="s">
        <v>47</v>
      </c>
      <c r="H6" s="2" t="s">
        <v>42</v>
      </c>
      <c r="I6" s="2" t="s">
        <v>26</v>
      </c>
      <c r="J6" s="2" t="s">
        <v>43</v>
      </c>
      <c r="K6" s="3" t="n">
        <v>3</v>
      </c>
      <c r="L6" s="2" t="s">
        <v>28</v>
      </c>
      <c r="M6" s="3" t="n">
        <v>26</v>
      </c>
      <c r="N6" s="4" t="n">
        <v>29</v>
      </c>
      <c r="O6" s="3" t="n">
        <v>26</v>
      </c>
      <c r="P6" s="3" t="n">
        <v>22</v>
      </c>
      <c r="Q6" s="3" t="n">
        <v>22</v>
      </c>
      <c r="R6" s="2" t="s">
        <v>48</v>
      </c>
    </row>
    <row r="7" customFormat="false" ht="15" hidden="false" customHeight="false" outlineLevel="0" collapsed="false">
      <c r="A7" s="2" t="s">
        <v>18</v>
      </c>
      <c r="B7" s="2" t="s">
        <v>19</v>
      </c>
      <c r="C7" s="2" t="s">
        <v>20</v>
      </c>
      <c r="D7" s="2" t="s">
        <v>21</v>
      </c>
      <c r="E7" s="2" t="s">
        <v>49</v>
      </c>
      <c r="F7" s="2" t="s">
        <v>50</v>
      </c>
      <c r="G7" s="2" t="s">
        <v>50</v>
      </c>
      <c r="H7" s="2" t="s">
        <v>36</v>
      </c>
      <c r="I7" s="2" t="s">
        <v>26</v>
      </c>
      <c r="J7" s="2" t="s">
        <v>43</v>
      </c>
      <c r="K7" s="3" t="n">
        <v>3</v>
      </c>
      <c r="L7" s="2" t="s">
        <v>51</v>
      </c>
      <c r="M7" s="3" t="n">
        <v>52</v>
      </c>
      <c r="N7" s="5" t="n">
        <v>55</v>
      </c>
      <c r="O7" s="3" t="n">
        <v>52</v>
      </c>
      <c r="P7" s="3" t="n">
        <v>44</v>
      </c>
      <c r="Q7" s="3" t="n">
        <v>48</v>
      </c>
      <c r="R7" s="2" t="s">
        <v>52</v>
      </c>
    </row>
    <row r="8" customFormat="false" ht="15" hidden="false" customHeight="false" outlineLevel="0" collapsed="false">
      <c r="A8" s="2" t="s">
        <v>18</v>
      </c>
      <c r="B8" s="2" t="s">
        <v>19</v>
      </c>
      <c r="C8" s="2" t="s">
        <v>20</v>
      </c>
      <c r="D8" s="2" t="s">
        <v>21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26</v>
      </c>
      <c r="J8" s="2" t="s">
        <v>37</v>
      </c>
      <c r="K8" s="3" t="n">
        <v>1</v>
      </c>
      <c r="L8" s="2" t="s">
        <v>28</v>
      </c>
      <c r="M8" s="3" t="n">
        <v>26</v>
      </c>
      <c r="N8" s="4" t="n">
        <v>27</v>
      </c>
      <c r="O8" s="3" t="n">
        <v>26</v>
      </c>
      <c r="P8" s="3" t="n">
        <v>22</v>
      </c>
      <c r="Q8" s="3" t="n">
        <v>24</v>
      </c>
      <c r="R8" s="2" t="s">
        <v>57</v>
      </c>
    </row>
    <row r="9" customFormat="false" ht="15" hidden="false" customHeight="false" outlineLevel="0" collapsed="false">
      <c r="A9" s="2" t="s">
        <v>58</v>
      </c>
      <c r="B9" s="2" t="s">
        <v>59</v>
      </c>
      <c r="C9" s="2" t="s">
        <v>60</v>
      </c>
      <c r="D9" s="2" t="s">
        <v>61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26</v>
      </c>
      <c r="J9" s="2" t="s">
        <v>62</v>
      </c>
      <c r="K9" s="3" t="n">
        <v>2</v>
      </c>
      <c r="L9" s="2" t="s">
        <v>63</v>
      </c>
      <c r="M9" s="3" t="n">
        <v>4</v>
      </c>
      <c r="N9" s="3" t="n">
        <v>5</v>
      </c>
      <c r="O9" s="3" t="n">
        <v>4</v>
      </c>
      <c r="P9" s="3" t="n">
        <v>5</v>
      </c>
      <c r="Q9" s="3" t="n">
        <v>4</v>
      </c>
      <c r="R9" s="2" t="s">
        <v>64</v>
      </c>
    </row>
    <row r="10" customFormat="false" ht="15" hidden="false" customHeight="false" outlineLevel="0" collapsed="false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30</v>
      </c>
      <c r="F10" s="2" t="s">
        <v>31</v>
      </c>
      <c r="G10" s="2" t="s">
        <v>32</v>
      </c>
      <c r="H10" s="2" t="s">
        <v>25</v>
      </c>
      <c r="I10" s="2" t="s">
        <v>26</v>
      </c>
      <c r="J10" s="2" t="s">
        <v>62</v>
      </c>
      <c r="K10" s="3" t="n">
        <v>2</v>
      </c>
      <c r="L10" s="2" t="s">
        <v>63</v>
      </c>
      <c r="M10" s="3" t="n">
        <v>4</v>
      </c>
      <c r="N10" s="3" t="n">
        <v>5</v>
      </c>
      <c r="O10" s="3" t="n">
        <v>4</v>
      </c>
      <c r="P10" s="3" t="n">
        <v>5</v>
      </c>
      <c r="Q10" s="3" t="n">
        <v>4</v>
      </c>
      <c r="R10" s="2" t="s">
        <v>65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39</v>
      </c>
      <c r="F11" s="2" t="s">
        <v>40</v>
      </c>
      <c r="G11" s="2" t="s">
        <v>41</v>
      </c>
      <c r="H11" s="2" t="s">
        <v>42</v>
      </c>
      <c r="I11" s="2" t="s">
        <v>66</v>
      </c>
      <c r="J11" s="2" t="s">
        <v>67</v>
      </c>
      <c r="K11" s="3" t="n">
        <v>1</v>
      </c>
      <c r="L11" s="2" t="s">
        <v>68</v>
      </c>
      <c r="M11" s="3" t="n">
        <v>6</v>
      </c>
      <c r="N11" s="3" t="n">
        <v>7</v>
      </c>
      <c r="O11" s="3" t="n">
        <v>6</v>
      </c>
      <c r="P11" s="3" t="n">
        <v>7</v>
      </c>
      <c r="Q11" s="3" t="n">
        <v>6</v>
      </c>
      <c r="R11" s="2" t="s">
        <v>69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45</v>
      </c>
      <c r="F12" s="2" t="s">
        <v>46</v>
      </c>
      <c r="G12" s="2" t="s">
        <v>47</v>
      </c>
      <c r="H12" s="2" t="s">
        <v>42</v>
      </c>
      <c r="I12" s="2" t="s">
        <v>66</v>
      </c>
      <c r="J12" s="2" t="s">
        <v>67</v>
      </c>
      <c r="K12" s="3" t="n">
        <v>1</v>
      </c>
      <c r="L12" s="2" t="s">
        <v>68</v>
      </c>
      <c r="M12" s="3" t="n">
        <v>6</v>
      </c>
      <c r="N12" s="3" t="n">
        <v>7</v>
      </c>
      <c r="O12" s="3" t="n">
        <v>6</v>
      </c>
      <c r="P12" s="3" t="n">
        <v>7</v>
      </c>
      <c r="Q12" s="3" t="n">
        <v>6</v>
      </c>
      <c r="R12" s="2" t="s">
        <v>70</v>
      </c>
    </row>
    <row r="13" customFormat="false" ht="15" hidden="false" customHeight="false" outlineLevel="0" collapsed="false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33</v>
      </c>
      <c r="F13" s="2" t="s">
        <v>34</v>
      </c>
      <c r="G13" s="2" t="s">
        <v>35</v>
      </c>
      <c r="H13" s="2" t="s">
        <v>36</v>
      </c>
      <c r="I13" s="2" t="s">
        <v>26</v>
      </c>
      <c r="J13" s="2" t="s">
        <v>75</v>
      </c>
      <c r="K13" s="3" t="n">
        <v>5</v>
      </c>
      <c r="L13" s="2" t="s">
        <v>76</v>
      </c>
      <c r="M13" s="3" t="n">
        <v>12</v>
      </c>
      <c r="N13" s="3" t="n">
        <v>17</v>
      </c>
      <c r="O13" s="3" t="n">
        <v>12</v>
      </c>
      <c r="P13" s="3" t="n">
        <v>15</v>
      </c>
      <c r="Q13" s="3" t="n">
        <v>11</v>
      </c>
      <c r="R13" s="2" t="s">
        <v>77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30</v>
      </c>
      <c r="F14" s="2" t="s">
        <v>31</v>
      </c>
      <c r="G14" s="2" t="s">
        <v>32</v>
      </c>
      <c r="H14" s="2" t="s">
        <v>25</v>
      </c>
      <c r="I14" s="2" t="s">
        <v>26</v>
      </c>
      <c r="J14" s="2" t="s">
        <v>78</v>
      </c>
      <c r="K14" s="3" t="n">
        <v>5</v>
      </c>
      <c r="L14" s="2" t="s">
        <v>79</v>
      </c>
      <c r="M14" s="3" t="n">
        <v>12</v>
      </c>
      <c r="N14" s="3" t="n">
        <v>17</v>
      </c>
      <c r="O14" s="3" t="n">
        <v>12</v>
      </c>
      <c r="P14" s="3" t="n">
        <v>15</v>
      </c>
      <c r="Q14" s="3" t="n">
        <v>11</v>
      </c>
      <c r="R14" s="2" t="s">
        <v>80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81</v>
      </c>
      <c r="F15" s="2" t="s">
        <v>82</v>
      </c>
      <c r="G15" s="2" t="s">
        <v>83</v>
      </c>
      <c r="H15" s="2" t="s">
        <v>25</v>
      </c>
      <c r="I15" s="2" t="s">
        <v>26</v>
      </c>
      <c r="J15" s="2" t="s">
        <v>78</v>
      </c>
      <c r="K15" s="3" t="n">
        <v>5</v>
      </c>
      <c r="L15" s="2" t="s">
        <v>79</v>
      </c>
      <c r="M15" s="3" t="n">
        <v>12</v>
      </c>
      <c r="N15" s="3" t="n">
        <v>17</v>
      </c>
      <c r="O15" s="3" t="n">
        <v>12</v>
      </c>
      <c r="P15" s="3" t="n">
        <v>15</v>
      </c>
      <c r="Q15" s="3" t="n">
        <v>11</v>
      </c>
      <c r="R15" s="2" t="s">
        <v>84</v>
      </c>
    </row>
    <row r="16" customFormat="false" ht="15" hidden="false" customHeight="false" outlineLevel="0" collapsed="false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85</v>
      </c>
      <c r="F16" s="2" t="s">
        <v>86</v>
      </c>
      <c r="G16" s="2" t="s">
        <v>87</v>
      </c>
      <c r="H16" s="2" t="s">
        <v>25</v>
      </c>
      <c r="I16" s="2" t="s">
        <v>26</v>
      </c>
      <c r="J16" s="2" t="s">
        <v>78</v>
      </c>
      <c r="K16" s="3" t="n">
        <v>5</v>
      </c>
      <c r="L16" s="2" t="s">
        <v>79</v>
      </c>
      <c r="M16" s="3" t="n">
        <v>12</v>
      </c>
      <c r="N16" s="3" t="n">
        <v>17</v>
      </c>
      <c r="O16" s="3" t="n">
        <v>12</v>
      </c>
      <c r="P16" s="3" t="n">
        <v>15</v>
      </c>
      <c r="Q16" s="3" t="n">
        <v>11</v>
      </c>
      <c r="R16" s="2" t="s">
        <v>88</v>
      </c>
    </row>
    <row r="17" customFormat="false" ht="15" hidden="false" customHeight="false" outlineLevel="0" collapsed="false">
      <c r="A17" s="2" t="s">
        <v>89</v>
      </c>
      <c r="B17" s="2" t="s">
        <v>90</v>
      </c>
      <c r="C17" s="2" t="s">
        <v>91</v>
      </c>
      <c r="D17" s="2" t="s">
        <v>74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26</v>
      </c>
      <c r="J17" s="2" t="s">
        <v>92</v>
      </c>
      <c r="K17" s="3" t="n">
        <v>7</v>
      </c>
      <c r="L17" s="2" t="s">
        <v>93</v>
      </c>
      <c r="M17" s="3" t="n">
        <v>12</v>
      </c>
      <c r="N17" s="3" t="n">
        <v>19</v>
      </c>
      <c r="O17" s="3" t="n">
        <v>12</v>
      </c>
      <c r="P17" s="3" t="n">
        <v>16</v>
      </c>
      <c r="Q17" s="3" t="n">
        <v>11</v>
      </c>
      <c r="R17" s="2" t="s">
        <v>94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74</v>
      </c>
      <c r="E18" s="2" t="s">
        <v>30</v>
      </c>
      <c r="F18" s="2" t="s">
        <v>31</v>
      </c>
      <c r="G18" s="2" t="s">
        <v>32</v>
      </c>
      <c r="H18" s="2" t="s">
        <v>25</v>
      </c>
      <c r="I18" s="2" t="s">
        <v>26</v>
      </c>
      <c r="J18" s="2" t="s">
        <v>95</v>
      </c>
      <c r="K18" s="3" t="n">
        <v>1</v>
      </c>
      <c r="L18" s="2" t="s">
        <v>93</v>
      </c>
      <c r="M18" s="3" t="n">
        <v>12</v>
      </c>
      <c r="N18" s="3" t="n">
        <v>13</v>
      </c>
      <c r="O18" s="3" t="n">
        <v>12</v>
      </c>
      <c r="P18" s="3" t="n">
        <v>12</v>
      </c>
      <c r="Q18" s="3" t="n">
        <v>11</v>
      </c>
      <c r="R18" s="2" t="s">
        <v>96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74</v>
      </c>
      <c r="E19" s="2" t="s">
        <v>81</v>
      </c>
      <c r="F19" s="2" t="s">
        <v>82</v>
      </c>
      <c r="G19" s="2" t="s">
        <v>83</v>
      </c>
      <c r="H19" s="2" t="s">
        <v>25</v>
      </c>
      <c r="I19" s="2" t="s">
        <v>26</v>
      </c>
      <c r="J19" s="2" t="s">
        <v>97</v>
      </c>
      <c r="K19" s="3" t="n">
        <v>4</v>
      </c>
      <c r="L19" s="2" t="s">
        <v>93</v>
      </c>
      <c r="M19" s="3" t="n">
        <v>12</v>
      </c>
      <c r="N19" s="3" t="n">
        <v>16</v>
      </c>
      <c r="O19" s="3" t="n">
        <v>12</v>
      </c>
      <c r="P19" s="3" t="n">
        <v>14</v>
      </c>
      <c r="Q19" s="3" t="n">
        <v>11</v>
      </c>
      <c r="R19" s="2" t="s">
        <v>98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2" t="s">
        <v>20</v>
      </c>
      <c r="D20" s="2" t="s">
        <v>101</v>
      </c>
      <c r="E20" s="2" t="s">
        <v>33</v>
      </c>
      <c r="F20" s="2" t="s">
        <v>34</v>
      </c>
      <c r="G20" s="2" t="s">
        <v>35</v>
      </c>
      <c r="H20" s="2" t="s">
        <v>36</v>
      </c>
      <c r="I20" s="2" t="s">
        <v>26</v>
      </c>
      <c r="J20" s="2" t="s">
        <v>102</v>
      </c>
      <c r="K20" s="3" t="n">
        <v>2</v>
      </c>
      <c r="L20" s="2" t="s">
        <v>103</v>
      </c>
      <c r="M20" s="3" t="n">
        <v>4</v>
      </c>
      <c r="N20" s="3" t="n">
        <v>5</v>
      </c>
      <c r="O20" s="3" t="n">
        <v>4</v>
      </c>
      <c r="P20" s="3" t="n">
        <v>5</v>
      </c>
      <c r="Q20" s="3" t="n">
        <v>4</v>
      </c>
      <c r="R20" s="2" t="s">
        <v>104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20</v>
      </c>
      <c r="D21" s="2" t="s">
        <v>101</v>
      </c>
      <c r="E21" s="2" t="s">
        <v>30</v>
      </c>
      <c r="F21" s="2" t="s">
        <v>31</v>
      </c>
      <c r="G21" s="2" t="s">
        <v>32</v>
      </c>
      <c r="H21" s="2" t="s">
        <v>25</v>
      </c>
      <c r="I21" s="2" t="s">
        <v>26</v>
      </c>
      <c r="J21" s="2" t="s">
        <v>102</v>
      </c>
      <c r="K21" s="3" t="n">
        <v>2</v>
      </c>
      <c r="L21" s="2" t="s">
        <v>103</v>
      </c>
      <c r="M21" s="3" t="n">
        <v>4</v>
      </c>
      <c r="N21" s="3" t="n">
        <v>5</v>
      </c>
      <c r="O21" s="3" t="n">
        <v>4</v>
      </c>
      <c r="P21" s="3" t="n">
        <v>5</v>
      </c>
      <c r="Q21" s="3" t="n">
        <v>4</v>
      </c>
      <c r="R21" s="2" t="s">
        <v>105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20</v>
      </c>
      <c r="D22" s="2" t="s">
        <v>101</v>
      </c>
      <c r="E22" s="2" t="s">
        <v>39</v>
      </c>
      <c r="F22" s="2" t="s">
        <v>40</v>
      </c>
      <c r="G22" s="2" t="s">
        <v>41</v>
      </c>
      <c r="H22" s="2" t="s">
        <v>42</v>
      </c>
      <c r="I22" s="2" t="s">
        <v>66</v>
      </c>
      <c r="J22" s="2" t="s">
        <v>106</v>
      </c>
      <c r="K22" s="3" t="n">
        <v>3</v>
      </c>
      <c r="L22" s="2" t="s">
        <v>107</v>
      </c>
      <c r="M22" s="3" t="n">
        <v>6</v>
      </c>
      <c r="N22" s="3" t="n">
        <v>9</v>
      </c>
      <c r="O22" s="3" t="n">
        <v>6</v>
      </c>
      <c r="P22" s="3" t="n">
        <v>9</v>
      </c>
      <c r="Q22" s="3" t="n">
        <v>6</v>
      </c>
      <c r="R22" s="2" t="s">
        <v>108</v>
      </c>
    </row>
    <row r="23" customFormat="false" ht="15" hidden="false" customHeight="false" outlineLevel="0" collapsed="false">
      <c r="A23" s="2" t="s">
        <v>99</v>
      </c>
      <c r="B23" s="2" t="s">
        <v>100</v>
      </c>
      <c r="C23" s="2" t="s">
        <v>20</v>
      </c>
      <c r="D23" s="2" t="s">
        <v>101</v>
      </c>
      <c r="E23" s="2" t="s">
        <v>45</v>
      </c>
      <c r="F23" s="2" t="s">
        <v>46</v>
      </c>
      <c r="G23" s="2" t="s">
        <v>47</v>
      </c>
      <c r="H23" s="2" t="s">
        <v>42</v>
      </c>
      <c r="I23" s="2" t="s">
        <v>66</v>
      </c>
      <c r="J23" s="2" t="s">
        <v>109</v>
      </c>
      <c r="K23" s="3" t="n">
        <v>3</v>
      </c>
      <c r="L23" s="2" t="s">
        <v>110</v>
      </c>
      <c r="M23" s="3" t="n">
        <v>6</v>
      </c>
      <c r="N23" s="3" t="n">
        <v>9</v>
      </c>
      <c r="O23" s="3" t="n">
        <v>6</v>
      </c>
      <c r="P23" s="3" t="n">
        <v>9</v>
      </c>
      <c r="Q23" s="3" t="n">
        <v>6</v>
      </c>
      <c r="R23" s="2" t="s">
        <v>111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60</v>
      </c>
      <c r="D24" s="2" t="s">
        <v>101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26</v>
      </c>
      <c r="J24" s="2" t="s">
        <v>114</v>
      </c>
      <c r="K24" s="3" t="n">
        <v>2</v>
      </c>
      <c r="L24" s="2" t="s">
        <v>115</v>
      </c>
      <c r="M24" s="3" t="n">
        <v>6</v>
      </c>
      <c r="N24" s="3" t="n">
        <v>7</v>
      </c>
      <c r="O24" s="3" t="n">
        <v>6</v>
      </c>
      <c r="P24" s="3" t="n">
        <v>7</v>
      </c>
      <c r="Q24" s="3" t="n">
        <v>6</v>
      </c>
      <c r="R24" s="2" t="s">
        <v>116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60</v>
      </c>
      <c r="D25" s="2" t="s">
        <v>101</v>
      </c>
      <c r="E25" s="2" t="s">
        <v>30</v>
      </c>
      <c r="F25" s="2" t="s">
        <v>31</v>
      </c>
      <c r="G25" s="2" t="s">
        <v>32</v>
      </c>
      <c r="H25" s="2" t="s">
        <v>25</v>
      </c>
      <c r="I25" s="2" t="s">
        <v>26</v>
      </c>
      <c r="J25" s="2" t="s">
        <v>114</v>
      </c>
      <c r="K25" s="3" t="n">
        <v>2</v>
      </c>
      <c r="L25" s="2" t="s">
        <v>115</v>
      </c>
      <c r="M25" s="3" t="n">
        <v>6</v>
      </c>
      <c r="N25" s="3" t="n">
        <v>7</v>
      </c>
      <c r="O25" s="3" t="n">
        <v>6</v>
      </c>
      <c r="P25" s="3" t="n">
        <v>7</v>
      </c>
      <c r="Q25" s="3" t="n">
        <v>6</v>
      </c>
      <c r="R25" s="2" t="s">
        <v>117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s">
        <v>123</v>
      </c>
      <c r="G26" s="2" t="s">
        <v>124</v>
      </c>
      <c r="H26" s="2" t="s">
        <v>36</v>
      </c>
      <c r="I26" s="2" t="s">
        <v>26</v>
      </c>
      <c r="J26" s="2" t="s">
        <v>125</v>
      </c>
      <c r="K26" s="3" t="n">
        <v>1</v>
      </c>
      <c r="L26" s="2" t="s">
        <v>126</v>
      </c>
      <c r="M26" s="3" t="n">
        <v>26</v>
      </c>
      <c r="N26" s="4" t="n">
        <v>27</v>
      </c>
      <c r="O26" s="3" t="n">
        <v>26</v>
      </c>
      <c r="P26" s="3" t="n">
        <v>23</v>
      </c>
      <c r="Q26" s="3" t="n">
        <v>24</v>
      </c>
      <c r="R26" s="2" t="s">
        <v>127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128</v>
      </c>
      <c r="F27" s="2" t="s">
        <v>129</v>
      </c>
      <c r="G27" s="2" t="s">
        <v>130</v>
      </c>
      <c r="H27" s="2" t="s">
        <v>131</v>
      </c>
      <c r="I27" s="2" t="s">
        <v>26</v>
      </c>
      <c r="J27" s="2" t="s">
        <v>132</v>
      </c>
      <c r="K27" s="3" t="n">
        <v>1</v>
      </c>
      <c r="L27" s="2" t="s">
        <v>133</v>
      </c>
      <c r="M27" s="3" t="n">
        <v>26</v>
      </c>
      <c r="N27" s="4" t="n">
        <v>27</v>
      </c>
      <c r="O27" s="3" t="n">
        <v>26</v>
      </c>
      <c r="P27" s="3" t="n">
        <v>23</v>
      </c>
      <c r="Q27" s="3" t="n">
        <v>24</v>
      </c>
      <c r="R27" s="2" t="s">
        <v>134</v>
      </c>
    </row>
    <row r="28" customFormat="false" ht="15" hidden="false" customHeight="false" outlineLevel="0" collapsed="false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135</v>
      </c>
      <c r="F28" s="2" t="s">
        <v>136</v>
      </c>
      <c r="G28" s="2" t="s">
        <v>137</v>
      </c>
      <c r="H28" s="2" t="s">
        <v>138</v>
      </c>
      <c r="I28" s="2" t="s">
        <v>26</v>
      </c>
      <c r="J28" s="2" t="s">
        <v>27</v>
      </c>
      <c r="K28" s="3" t="n">
        <v>0</v>
      </c>
      <c r="L28" s="2" t="s">
        <v>126</v>
      </c>
      <c r="M28" s="3" t="n">
        <v>26</v>
      </c>
      <c r="N28" s="4" t="n">
        <v>26</v>
      </c>
      <c r="O28" s="3" t="n">
        <v>26</v>
      </c>
      <c r="P28" s="3" t="n">
        <v>22</v>
      </c>
      <c r="Q28" s="3" t="n">
        <v>24</v>
      </c>
      <c r="R28" s="2" t="s">
        <v>139</v>
      </c>
    </row>
    <row r="29" customFormat="false" ht="15" hidden="false" customHeight="false" outlineLevel="0" collapsed="false">
      <c r="A29" s="2" t="s">
        <v>118</v>
      </c>
      <c r="B29" s="2" t="s">
        <v>119</v>
      </c>
      <c r="C29" s="2" t="s">
        <v>120</v>
      </c>
      <c r="D29" s="2" t="s">
        <v>121</v>
      </c>
      <c r="E29" s="2" t="s">
        <v>140</v>
      </c>
      <c r="F29" s="2" t="s">
        <v>141</v>
      </c>
      <c r="G29" s="2" t="s">
        <v>141</v>
      </c>
      <c r="H29" s="2" t="s">
        <v>42</v>
      </c>
      <c r="I29" s="2" t="s">
        <v>26</v>
      </c>
      <c r="J29" s="2" t="s">
        <v>27</v>
      </c>
      <c r="K29" s="3" t="n">
        <v>0</v>
      </c>
      <c r="L29" s="2" t="s">
        <v>142</v>
      </c>
      <c r="M29" s="3" t="n">
        <v>52</v>
      </c>
      <c r="N29" s="5" t="n">
        <v>52</v>
      </c>
      <c r="O29" s="3" t="n">
        <v>52</v>
      </c>
      <c r="P29" s="3" t="n">
        <v>44</v>
      </c>
      <c r="Q29" s="3" t="n">
        <v>48</v>
      </c>
      <c r="R29" s="2" t="s">
        <v>143</v>
      </c>
    </row>
    <row r="30" customFormat="false" ht="15" hidden="false" customHeight="false" outlineLevel="0" collapsed="false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144</v>
      </c>
      <c r="F30" s="2" t="s">
        <v>145</v>
      </c>
      <c r="G30" s="2" t="s">
        <v>145</v>
      </c>
      <c r="H30" s="2" t="s">
        <v>36</v>
      </c>
      <c r="I30" s="2" t="s">
        <v>26</v>
      </c>
      <c r="J30" s="2" t="s">
        <v>125</v>
      </c>
      <c r="K30" s="3" t="n">
        <v>1</v>
      </c>
      <c r="L30" s="2" t="s">
        <v>126</v>
      </c>
      <c r="M30" s="3" t="n">
        <v>26</v>
      </c>
      <c r="N30" s="4" t="n">
        <v>27</v>
      </c>
      <c r="O30" s="3" t="n">
        <v>26</v>
      </c>
      <c r="P30" s="3" t="n">
        <v>23</v>
      </c>
      <c r="Q30" s="3" t="n">
        <v>24</v>
      </c>
      <c r="R30" s="2" t="s">
        <v>146</v>
      </c>
    </row>
    <row r="31" customFormat="false" ht="15" hidden="false" customHeight="false" outlineLevel="0" collapsed="false">
      <c r="A31" s="2" t="s">
        <v>118</v>
      </c>
      <c r="B31" s="2" t="s">
        <v>119</v>
      </c>
      <c r="C31" s="2" t="s">
        <v>120</v>
      </c>
      <c r="D31" s="2" t="s">
        <v>121</v>
      </c>
      <c r="E31" s="2" t="s">
        <v>147</v>
      </c>
      <c r="F31" s="2" t="s">
        <v>148</v>
      </c>
      <c r="G31" s="2" t="s">
        <v>149</v>
      </c>
      <c r="H31" s="2" t="s">
        <v>150</v>
      </c>
      <c r="I31" s="2" t="s">
        <v>26</v>
      </c>
      <c r="J31" s="2" t="s">
        <v>27</v>
      </c>
      <c r="K31" s="3" t="n">
        <v>0</v>
      </c>
      <c r="L31" s="2" t="s">
        <v>126</v>
      </c>
      <c r="M31" s="3" t="n">
        <v>26</v>
      </c>
      <c r="N31" s="4" t="n">
        <v>26</v>
      </c>
      <c r="O31" s="3" t="n">
        <v>26</v>
      </c>
      <c r="P31" s="3" t="n">
        <v>22</v>
      </c>
      <c r="Q31" s="3" t="n">
        <v>24</v>
      </c>
      <c r="R31" s="2" t="s">
        <v>151</v>
      </c>
    </row>
    <row r="32" customFormat="false" ht="15" hidden="false" customHeight="false" outlineLevel="0" collapsed="false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39</v>
      </c>
      <c r="F32" s="2" t="s">
        <v>40</v>
      </c>
      <c r="G32" s="2" t="s">
        <v>41</v>
      </c>
      <c r="H32" s="2" t="s">
        <v>42</v>
      </c>
      <c r="I32" s="2" t="s">
        <v>156</v>
      </c>
      <c r="J32" s="2" t="s">
        <v>157</v>
      </c>
      <c r="K32" s="3" t="n">
        <v>3</v>
      </c>
      <c r="L32" s="2" t="s">
        <v>158</v>
      </c>
      <c r="M32" s="3" t="n">
        <v>6</v>
      </c>
      <c r="N32" s="3" t="n">
        <v>8</v>
      </c>
      <c r="O32" s="3" t="n">
        <v>6</v>
      </c>
      <c r="P32" s="3" t="n">
        <v>8</v>
      </c>
      <c r="Q32" s="3" t="n">
        <v>6</v>
      </c>
      <c r="R32" s="2" t="s">
        <v>159</v>
      </c>
    </row>
    <row r="33" customFormat="false" ht="15" hidden="false" customHeight="false" outlineLevel="0" collapsed="false">
      <c r="A33" s="2" t="s">
        <v>152</v>
      </c>
      <c r="B33" s="2" t="s">
        <v>153</v>
      </c>
      <c r="C33" s="2" t="s">
        <v>154</v>
      </c>
      <c r="D33" s="2" t="s">
        <v>155</v>
      </c>
      <c r="E33" s="2" t="s">
        <v>45</v>
      </c>
      <c r="F33" s="2" t="s">
        <v>46</v>
      </c>
      <c r="G33" s="2" t="s">
        <v>47</v>
      </c>
      <c r="H33" s="2" t="s">
        <v>42</v>
      </c>
      <c r="I33" s="2" t="s">
        <v>156</v>
      </c>
      <c r="J33" s="2" t="s">
        <v>157</v>
      </c>
      <c r="K33" s="3" t="n">
        <v>3</v>
      </c>
      <c r="L33" s="2" t="s">
        <v>158</v>
      </c>
      <c r="M33" s="3" t="n">
        <v>6</v>
      </c>
      <c r="N33" s="3" t="n">
        <v>8</v>
      </c>
      <c r="O33" s="3" t="n">
        <v>6</v>
      </c>
      <c r="P33" s="3" t="n">
        <v>8</v>
      </c>
      <c r="Q33" s="3" t="n">
        <v>6</v>
      </c>
      <c r="R33" s="2" t="s">
        <v>159</v>
      </c>
    </row>
    <row r="34" customFormat="false" ht="15" hidden="false" customHeight="false" outlineLevel="0" collapsed="false">
      <c r="A34" s="2" t="s">
        <v>160</v>
      </c>
      <c r="B34" s="2" t="s">
        <v>153</v>
      </c>
      <c r="C34" s="2" t="s">
        <v>154</v>
      </c>
      <c r="D34" s="2" t="s">
        <v>155</v>
      </c>
      <c r="E34" s="2" t="s">
        <v>161</v>
      </c>
      <c r="F34" s="2" t="s">
        <v>40</v>
      </c>
      <c r="G34" s="2" t="s">
        <v>41</v>
      </c>
      <c r="H34" s="2" t="s">
        <v>42</v>
      </c>
      <c r="I34" s="2" t="s">
        <v>26</v>
      </c>
      <c r="J34" s="2" t="s">
        <v>162</v>
      </c>
      <c r="K34" s="3" t="n">
        <v>3</v>
      </c>
      <c r="L34" s="2" t="s">
        <v>163</v>
      </c>
      <c r="M34" s="3" t="n">
        <v>26</v>
      </c>
      <c r="N34" s="4" t="n">
        <v>29</v>
      </c>
      <c r="O34" s="3" t="n">
        <v>26</v>
      </c>
      <c r="P34" s="3" t="n">
        <v>25</v>
      </c>
      <c r="Q34" s="3" t="n">
        <v>24</v>
      </c>
      <c r="R34" s="2" t="s">
        <v>164</v>
      </c>
    </row>
    <row r="35" customFormat="false" ht="15" hidden="false" customHeight="false" outlineLevel="0" collapsed="false">
      <c r="A35" s="2" t="s">
        <v>160</v>
      </c>
      <c r="B35" s="2" t="s">
        <v>153</v>
      </c>
      <c r="C35" s="2" t="s">
        <v>154</v>
      </c>
      <c r="D35" s="2" t="s">
        <v>155</v>
      </c>
      <c r="E35" s="2" t="s">
        <v>165</v>
      </c>
      <c r="F35" s="2" t="s">
        <v>46</v>
      </c>
      <c r="G35" s="2" t="s">
        <v>47</v>
      </c>
      <c r="H35" s="2" t="s">
        <v>42</v>
      </c>
      <c r="I35" s="2" t="s">
        <v>26</v>
      </c>
      <c r="J35" s="2" t="s">
        <v>162</v>
      </c>
      <c r="K35" s="3" t="n">
        <v>3</v>
      </c>
      <c r="L35" s="2" t="s">
        <v>163</v>
      </c>
      <c r="M35" s="3" t="n">
        <v>26</v>
      </c>
      <c r="N35" s="4" t="n">
        <v>29</v>
      </c>
      <c r="O35" s="3" t="n">
        <v>26</v>
      </c>
      <c r="P35" s="3" t="n">
        <v>25</v>
      </c>
      <c r="Q35" s="3" t="n">
        <v>24</v>
      </c>
      <c r="R35" s="2" t="s">
        <v>166</v>
      </c>
    </row>
    <row r="36" customFormat="false" ht="15" hidden="false" customHeight="false" outlineLevel="0" collapsed="false">
      <c r="A36" s="2" t="s">
        <v>167</v>
      </c>
      <c r="B36" s="2" t="s">
        <v>168</v>
      </c>
      <c r="C36" s="2" t="s">
        <v>20</v>
      </c>
      <c r="D36" s="2" t="s">
        <v>169</v>
      </c>
      <c r="E36" s="2" t="s">
        <v>22</v>
      </c>
      <c r="F36" s="2" t="s">
        <v>23</v>
      </c>
      <c r="G36" s="2" t="s">
        <v>24</v>
      </c>
      <c r="H36" s="2" t="s">
        <v>25</v>
      </c>
      <c r="I36" s="2" t="s">
        <v>170</v>
      </c>
      <c r="J36" s="2" t="s">
        <v>27</v>
      </c>
      <c r="K36" s="3" t="n">
        <v>0</v>
      </c>
      <c r="L36" s="2" t="s">
        <v>171</v>
      </c>
      <c r="M36" s="3" t="n">
        <v>12</v>
      </c>
      <c r="N36" s="3" t="n">
        <v>12</v>
      </c>
      <c r="O36" s="3" t="n">
        <v>12</v>
      </c>
      <c r="P36" s="3" t="n">
        <v>10</v>
      </c>
      <c r="Q36" s="3" t="n">
        <v>11</v>
      </c>
      <c r="R36" s="2" t="s">
        <v>172</v>
      </c>
    </row>
    <row r="37" customFormat="false" ht="15" hidden="false" customHeight="false" outlineLevel="0" collapsed="false">
      <c r="A37" s="2" t="s">
        <v>167</v>
      </c>
      <c r="B37" s="2" t="s">
        <v>168</v>
      </c>
      <c r="C37" s="2" t="s">
        <v>20</v>
      </c>
      <c r="D37" s="2" t="s">
        <v>169</v>
      </c>
      <c r="E37" s="2" t="s">
        <v>30</v>
      </c>
      <c r="F37" s="2" t="s">
        <v>31</v>
      </c>
      <c r="G37" s="2" t="s">
        <v>32</v>
      </c>
      <c r="H37" s="2" t="s">
        <v>25</v>
      </c>
      <c r="I37" s="2" t="s">
        <v>170</v>
      </c>
      <c r="J37" s="2" t="s">
        <v>27</v>
      </c>
      <c r="K37" s="3" t="n">
        <v>0</v>
      </c>
      <c r="L37" s="2" t="s">
        <v>171</v>
      </c>
      <c r="M37" s="3" t="n">
        <v>12</v>
      </c>
      <c r="N37" s="3" t="n">
        <v>12</v>
      </c>
      <c r="O37" s="3" t="n">
        <v>12</v>
      </c>
      <c r="P37" s="3" t="n">
        <v>10</v>
      </c>
      <c r="Q37" s="3" t="n">
        <v>11</v>
      </c>
      <c r="R37" s="2" t="s">
        <v>173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20</v>
      </c>
      <c r="D38" s="2" t="s">
        <v>169</v>
      </c>
      <c r="E38" s="2" t="s">
        <v>122</v>
      </c>
      <c r="F38" s="2" t="s">
        <v>123</v>
      </c>
      <c r="G38" s="2" t="s">
        <v>124</v>
      </c>
      <c r="H38" s="2" t="s">
        <v>36</v>
      </c>
      <c r="I38" s="2" t="s">
        <v>170</v>
      </c>
      <c r="J38" s="2" t="s">
        <v>27</v>
      </c>
      <c r="K38" s="3" t="n">
        <v>0</v>
      </c>
      <c r="L38" s="2" t="s">
        <v>174</v>
      </c>
      <c r="M38" s="3" t="n">
        <v>12</v>
      </c>
      <c r="N38" s="3" t="n">
        <v>12</v>
      </c>
      <c r="O38" s="3" t="n">
        <v>12</v>
      </c>
      <c r="P38" s="3" t="n">
        <v>10</v>
      </c>
      <c r="Q38" s="3" t="n">
        <v>11</v>
      </c>
      <c r="R38" s="2" t="s">
        <v>175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20</v>
      </c>
      <c r="D39" s="2" t="s">
        <v>169</v>
      </c>
      <c r="E39" s="2" t="s">
        <v>45</v>
      </c>
      <c r="F39" s="2" t="s">
        <v>46</v>
      </c>
      <c r="G39" s="2" t="s">
        <v>47</v>
      </c>
      <c r="H39" s="2" t="s">
        <v>42</v>
      </c>
      <c r="I39" s="2" t="s">
        <v>170</v>
      </c>
      <c r="J39" s="2" t="s">
        <v>176</v>
      </c>
      <c r="K39" s="3" t="n">
        <v>2</v>
      </c>
      <c r="L39" s="2" t="s">
        <v>174</v>
      </c>
      <c r="M39" s="3" t="n">
        <v>12</v>
      </c>
      <c r="N39" s="3" t="n">
        <v>14</v>
      </c>
      <c r="O39" s="3" t="n">
        <v>12</v>
      </c>
      <c r="P39" s="3" t="n">
        <v>12</v>
      </c>
      <c r="Q39" s="3" t="n">
        <v>11</v>
      </c>
      <c r="R39" s="2" t="s">
        <v>177</v>
      </c>
    </row>
    <row r="40" customFormat="false" ht="15" hidden="false" customHeight="false" outlineLevel="0" collapsed="false">
      <c r="A40" s="2" t="s">
        <v>167</v>
      </c>
      <c r="B40" s="2" t="s">
        <v>168</v>
      </c>
      <c r="C40" s="2" t="s">
        <v>20</v>
      </c>
      <c r="D40" s="2" t="s">
        <v>169</v>
      </c>
      <c r="E40" s="2" t="s">
        <v>39</v>
      </c>
      <c r="F40" s="2" t="s">
        <v>40</v>
      </c>
      <c r="G40" s="2" t="s">
        <v>41</v>
      </c>
      <c r="H40" s="2" t="s">
        <v>42</v>
      </c>
      <c r="I40" s="2" t="s">
        <v>170</v>
      </c>
      <c r="J40" s="2" t="s">
        <v>178</v>
      </c>
      <c r="K40" s="3" t="n">
        <v>3</v>
      </c>
      <c r="L40" s="2" t="s">
        <v>174</v>
      </c>
      <c r="M40" s="3" t="n">
        <v>12</v>
      </c>
      <c r="N40" s="3" t="n">
        <v>15</v>
      </c>
      <c r="O40" s="3" t="n">
        <v>12</v>
      </c>
      <c r="P40" s="3" t="n">
        <v>13</v>
      </c>
      <c r="Q40" s="3" t="n">
        <v>11</v>
      </c>
      <c r="R40" s="2" t="s">
        <v>179</v>
      </c>
    </row>
    <row r="41" customFormat="false" ht="15" hidden="false" customHeight="false" outlineLevel="0" collapsed="false">
      <c r="A41" s="2" t="s">
        <v>167</v>
      </c>
      <c r="B41" s="2" t="s">
        <v>168</v>
      </c>
      <c r="C41" s="2" t="s">
        <v>20</v>
      </c>
      <c r="D41" s="2" t="s">
        <v>169</v>
      </c>
      <c r="E41" s="2" t="s">
        <v>81</v>
      </c>
      <c r="F41" s="2" t="s">
        <v>82</v>
      </c>
      <c r="G41" s="2" t="s">
        <v>83</v>
      </c>
      <c r="H41" s="2" t="s">
        <v>25</v>
      </c>
      <c r="I41" s="2" t="s">
        <v>170</v>
      </c>
      <c r="J41" s="2" t="s">
        <v>27</v>
      </c>
      <c r="K41" s="3" t="n">
        <v>0</v>
      </c>
      <c r="L41" s="2" t="s">
        <v>171</v>
      </c>
      <c r="M41" s="3" t="n">
        <v>12</v>
      </c>
      <c r="N41" s="3" t="n">
        <v>12</v>
      </c>
      <c r="O41" s="3" t="n">
        <v>12</v>
      </c>
      <c r="P41" s="3" t="n">
        <v>10</v>
      </c>
      <c r="Q41" s="3" t="n">
        <v>11</v>
      </c>
      <c r="R41" s="2" t="s">
        <v>180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169</v>
      </c>
      <c r="E42" s="2" t="s">
        <v>22</v>
      </c>
      <c r="F42" s="2" t="s">
        <v>23</v>
      </c>
      <c r="G42" s="2" t="s">
        <v>24</v>
      </c>
      <c r="H42" s="2" t="s">
        <v>25</v>
      </c>
      <c r="I42" s="2" t="s">
        <v>170</v>
      </c>
      <c r="J42" s="2" t="s">
        <v>27</v>
      </c>
      <c r="K42" s="3" t="n">
        <v>0</v>
      </c>
      <c r="L42" s="2" t="s">
        <v>184</v>
      </c>
      <c r="M42" s="3" t="n">
        <v>12</v>
      </c>
      <c r="N42" s="3" t="n">
        <v>12</v>
      </c>
      <c r="O42" s="3" t="n">
        <v>12</v>
      </c>
      <c r="P42" s="3" t="n">
        <v>10</v>
      </c>
      <c r="Q42" s="3" t="n">
        <v>11</v>
      </c>
      <c r="R42" s="2" t="s">
        <v>185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169</v>
      </c>
      <c r="E43" s="2" t="s">
        <v>30</v>
      </c>
      <c r="F43" s="2" t="s">
        <v>31</v>
      </c>
      <c r="G43" s="2" t="s">
        <v>32</v>
      </c>
      <c r="H43" s="2" t="s">
        <v>25</v>
      </c>
      <c r="I43" s="2" t="s">
        <v>170</v>
      </c>
      <c r="J43" s="2" t="s">
        <v>27</v>
      </c>
      <c r="K43" s="3" t="n">
        <v>0</v>
      </c>
      <c r="L43" s="2" t="s">
        <v>186</v>
      </c>
      <c r="M43" s="3" t="n">
        <v>12</v>
      </c>
      <c r="N43" s="3" t="n">
        <v>12</v>
      </c>
      <c r="O43" s="3" t="n">
        <v>12</v>
      </c>
      <c r="P43" s="3" t="n">
        <v>10</v>
      </c>
      <c r="Q43" s="3" t="n">
        <v>11</v>
      </c>
      <c r="R43" s="2" t="s">
        <v>187</v>
      </c>
    </row>
    <row r="44" customFormat="false" ht="15" hidden="false" customHeight="false" outlineLevel="0" collapsed="false">
      <c r="A44" s="2" t="s">
        <v>181</v>
      </c>
      <c r="B44" s="2" t="s">
        <v>182</v>
      </c>
      <c r="C44" s="2" t="s">
        <v>183</v>
      </c>
      <c r="D44" s="2" t="s">
        <v>169</v>
      </c>
      <c r="E44" s="2" t="s">
        <v>45</v>
      </c>
      <c r="F44" s="2" t="s">
        <v>46</v>
      </c>
      <c r="G44" s="2" t="s">
        <v>47</v>
      </c>
      <c r="H44" s="2" t="s">
        <v>42</v>
      </c>
      <c r="I44" s="2" t="s">
        <v>170</v>
      </c>
      <c r="J44" s="2" t="s">
        <v>188</v>
      </c>
      <c r="K44" s="3" t="n">
        <v>2</v>
      </c>
      <c r="L44" s="2" t="s">
        <v>189</v>
      </c>
      <c r="M44" s="3" t="n">
        <v>12</v>
      </c>
      <c r="N44" s="3" t="n">
        <v>14</v>
      </c>
      <c r="O44" s="3" t="n">
        <v>12</v>
      </c>
      <c r="P44" s="3" t="n">
        <v>12</v>
      </c>
      <c r="Q44" s="3" t="n">
        <v>11</v>
      </c>
      <c r="R44" s="2" t="s">
        <v>190</v>
      </c>
    </row>
    <row r="45" customFormat="false" ht="15" hidden="false" customHeight="false" outlineLevel="0" collapsed="false">
      <c r="A45" s="2" t="s">
        <v>181</v>
      </c>
      <c r="B45" s="2" t="s">
        <v>182</v>
      </c>
      <c r="C45" s="2" t="s">
        <v>183</v>
      </c>
      <c r="D45" s="2" t="s">
        <v>169</v>
      </c>
      <c r="E45" s="2" t="s">
        <v>81</v>
      </c>
      <c r="F45" s="2" t="s">
        <v>82</v>
      </c>
      <c r="G45" s="2" t="s">
        <v>83</v>
      </c>
      <c r="H45" s="2" t="s">
        <v>25</v>
      </c>
      <c r="I45" s="2" t="s">
        <v>170</v>
      </c>
      <c r="J45" s="2" t="s">
        <v>27</v>
      </c>
      <c r="K45" s="3" t="n">
        <v>0</v>
      </c>
      <c r="L45" s="2" t="s">
        <v>186</v>
      </c>
      <c r="M45" s="3" t="n">
        <v>12</v>
      </c>
      <c r="N45" s="3" t="n">
        <v>12</v>
      </c>
      <c r="O45" s="3" t="n">
        <v>12</v>
      </c>
      <c r="P45" s="3" t="n">
        <v>10</v>
      </c>
      <c r="Q45" s="3" t="n">
        <v>11</v>
      </c>
      <c r="R45" s="2" t="s">
        <v>187</v>
      </c>
    </row>
    <row r="46" customFormat="false" ht="15" hidden="false" customHeight="false" outlineLevel="0" collapsed="false">
      <c r="A46" s="2" t="s">
        <v>191</v>
      </c>
      <c r="B46" s="2" t="s">
        <v>192</v>
      </c>
      <c r="C46" s="2" t="s">
        <v>193</v>
      </c>
      <c r="D46" s="2" t="s">
        <v>21</v>
      </c>
      <c r="E46" s="2" t="s">
        <v>22</v>
      </c>
      <c r="F46" s="2" t="s">
        <v>23</v>
      </c>
      <c r="G46" s="2" t="s">
        <v>24</v>
      </c>
      <c r="H46" s="2" t="s">
        <v>25</v>
      </c>
      <c r="I46" s="2" t="s">
        <v>26</v>
      </c>
      <c r="J46" s="2" t="s">
        <v>27</v>
      </c>
      <c r="K46" s="3" t="n">
        <v>0</v>
      </c>
      <c r="L46" s="2" t="s">
        <v>194</v>
      </c>
      <c r="M46" s="3" t="n">
        <v>52</v>
      </c>
      <c r="N46" s="5" t="n">
        <v>52</v>
      </c>
      <c r="O46" s="3" t="n">
        <v>52</v>
      </c>
      <c r="P46" s="3" t="n">
        <v>44</v>
      </c>
      <c r="Q46" s="3" t="n">
        <v>48</v>
      </c>
      <c r="R46" s="2" t="s">
        <v>195</v>
      </c>
    </row>
    <row r="47" customFormat="false" ht="15" hidden="false" customHeight="false" outlineLevel="0" collapsed="false">
      <c r="A47" s="2" t="s">
        <v>191</v>
      </c>
      <c r="B47" s="2" t="s">
        <v>192</v>
      </c>
      <c r="C47" s="2" t="s">
        <v>193</v>
      </c>
      <c r="D47" s="2" t="s">
        <v>21</v>
      </c>
      <c r="E47" s="2" t="s">
        <v>30</v>
      </c>
      <c r="F47" s="2" t="s">
        <v>31</v>
      </c>
      <c r="G47" s="2" t="s">
        <v>32</v>
      </c>
      <c r="H47" s="2" t="s">
        <v>25</v>
      </c>
      <c r="I47" s="2" t="s">
        <v>26</v>
      </c>
      <c r="J47" s="2" t="s">
        <v>27</v>
      </c>
      <c r="K47" s="3" t="n">
        <v>0</v>
      </c>
      <c r="L47" s="2" t="s">
        <v>194</v>
      </c>
      <c r="M47" s="3" t="n">
        <v>52</v>
      </c>
      <c r="N47" s="5" t="n">
        <v>52</v>
      </c>
      <c r="O47" s="3" t="n">
        <v>52</v>
      </c>
      <c r="P47" s="3" t="n">
        <v>44</v>
      </c>
      <c r="Q47" s="3" t="n">
        <v>48</v>
      </c>
      <c r="R47" s="2" t="s">
        <v>196</v>
      </c>
    </row>
    <row r="48" customFormat="false" ht="15" hidden="false" customHeight="false" outlineLevel="0" collapsed="false">
      <c r="A48" s="2" t="s">
        <v>191</v>
      </c>
      <c r="B48" s="2" t="s">
        <v>192</v>
      </c>
      <c r="C48" s="2" t="s">
        <v>193</v>
      </c>
      <c r="D48" s="2" t="s">
        <v>21</v>
      </c>
      <c r="E48" s="2" t="s">
        <v>33</v>
      </c>
      <c r="F48" s="2" t="s">
        <v>34</v>
      </c>
      <c r="G48" s="2" t="s">
        <v>35</v>
      </c>
      <c r="H48" s="2" t="s">
        <v>36</v>
      </c>
      <c r="I48" s="2" t="s">
        <v>26</v>
      </c>
      <c r="J48" s="2" t="s">
        <v>197</v>
      </c>
      <c r="K48" s="3" t="n">
        <v>26</v>
      </c>
      <c r="L48" s="2" t="s">
        <v>194</v>
      </c>
      <c r="M48" s="3" t="n">
        <v>52</v>
      </c>
      <c r="N48" s="5" t="n">
        <v>65</v>
      </c>
      <c r="O48" s="3" t="n">
        <v>52</v>
      </c>
      <c r="P48" s="3" t="n">
        <v>52</v>
      </c>
      <c r="Q48" s="3" t="n">
        <v>48</v>
      </c>
      <c r="R48" s="2" t="s">
        <v>198</v>
      </c>
    </row>
    <row r="49" customFormat="false" ht="15" hidden="false" customHeight="false" outlineLevel="0" collapsed="false">
      <c r="A49" s="2" t="s">
        <v>191</v>
      </c>
      <c r="B49" s="2" t="s">
        <v>192</v>
      </c>
      <c r="C49" s="2" t="s">
        <v>193</v>
      </c>
      <c r="D49" s="2" t="s">
        <v>21</v>
      </c>
      <c r="E49" s="2" t="s">
        <v>81</v>
      </c>
      <c r="F49" s="2" t="s">
        <v>82</v>
      </c>
      <c r="G49" s="2" t="s">
        <v>83</v>
      </c>
      <c r="H49" s="2" t="s">
        <v>25</v>
      </c>
      <c r="I49" s="2" t="s">
        <v>26</v>
      </c>
      <c r="J49" s="2" t="s">
        <v>27</v>
      </c>
      <c r="K49" s="3" t="n">
        <v>0</v>
      </c>
      <c r="L49" s="2" t="s">
        <v>194</v>
      </c>
      <c r="M49" s="3" t="n">
        <v>52</v>
      </c>
      <c r="N49" s="5" t="n">
        <v>52</v>
      </c>
      <c r="O49" s="3" t="n">
        <v>52</v>
      </c>
      <c r="P49" s="3" t="n">
        <v>44</v>
      </c>
      <c r="Q49" s="3" t="n">
        <v>48</v>
      </c>
      <c r="R49" s="2" t="s">
        <v>196</v>
      </c>
    </row>
    <row r="50" customFormat="false" ht="15" hidden="false" customHeight="false" outlineLevel="0" collapsed="false">
      <c r="A50" s="2" t="s">
        <v>199</v>
      </c>
      <c r="B50" s="2" t="s">
        <v>200</v>
      </c>
      <c r="C50" s="2" t="s">
        <v>201</v>
      </c>
      <c r="D50" s="2" t="s">
        <v>21</v>
      </c>
      <c r="E50" s="2" t="s">
        <v>22</v>
      </c>
      <c r="F50" s="2" t="s">
        <v>23</v>
      </c>
      <c r="G50" s="2" t="s">
        <v>24</v>
      </c>
      <c r="H50" s="2" t="s">
        <v>25</v>
      </c>
      <c r="I50" s="2" t="s">
        <v>26</v>
      </c>
      <c r="J50" s="2" t="s">
        <v>202</v>
      </c>
      <c r="K50" s="3" t="n">
        <v>3</v>
      </c>
      <c r="L50" s="2" t="s">
        <v>203</v>
      </c>
      <c r="M50" s="3" t="n">
        <v>26</v>
      </c>
      <c r="N50" s="4" t="n">
        <v>29</v>
      </c>
      <c r="O50" s="3" t="n">
        <v>26</v>
      </c>
      <c r="P50" s="3" t="n">
        <v>24</v>
      </c>
      <c r="Q50" s="3" t="n">
        <v>24</v>
      </c>
      <c r="R50" s="2" t="s">
        <v>204</v>
      </c>
    </row>
    <row r="51" customFormat="false" ht="15" hidden="false" customHeight="false" outlineLevel="0" collapsed="false">
      <c r="A51" s="2" t="s">
        <v>199</v>
      </c>
      <c r="B51" s="2" t="s">
        <v>200</v>
      </c>
      <c r="C51" s="2" t="s">
        <v>201</v>
      </c>
      <c r="D51" s="2" t="s">
        <v>21</v>
      </c>
      <c r="E51" s="2" t="s">
        <v>30</v>
      </c>
      <c r="F51" s="2" t="s">
        <v>31</v>
      </c>
      <c r="G51" s="2" t="s">
        <v>32</v>
      </c>
      <c r="H51" s="2" t="s">
        <v>25</v>
      </c>
      <c r="I51" s="2" t="s">
        <v>26</v>
      </c>
      <c r="J51" s="2" t="s">
        <v>202</v>
      </c>
      <c r="K51" s="3" t="n">
        <v>3</v>
      </c>
      <c r="L51" s="2" t="s">
        <v>203</v>
      </c>
      <c r="M51" s="3" t="n">
        <v>26</v>
      </c>
      <c r="N51" s="4" t="n">
        <v>29</v>
      </c>
      <c r="O51" s="3" t="n">
        <v>26</v>
      </c>
      <c r="P51" s="3" t="n">
        <v>24</v>
      </c>
      <c r="Q51" s="3" t="n">
        <v>24</v>
      </c>
      <c r="R51" s="2" t="s">
        <v>205</v>
      </c>
    </row>
    <row r="52" customFormat="false" ht="15" hidden="false" customHeight="false" outlineLevel="0" collapsed="false">
      <c r="A52" s="2" t="s">
        <v>199</v>
      </c>
      <c r="B52" s="2" t="s">
        <v>200</v>
      </c>
      <c r="C52" s="2" t="s">
        <v>201</v>
      </c>
      <c r="D52" s="2" t="s">
        <v>21</v>
      </c>
      <c r="E52" s="2" t="s">
        <v>39</v>
      </c>
      <c r="F52" s="2" t="s">
        <v>40</v>
      </c>
      <c r="G52" s="2" t="s">
        <v>41</v>
      </c>
      <c r="H52" s="2" t="s">
        <v>42</v>
      </c>
      <c r="I52" s="2" t="s">
        <v>26</v>
      </c>
      <c r="J52" s="2" t="s">
        <v>202</v>
      </c>
      <c r="K52" s="3" t="n">
        <v>3</v>
      </c>
      <c r="L52" s="2" t="s">
        <v>206</v>
      </c>
      <c r="M52" s="3" t="n">
        <v>13</v>
      </c>
      <c r="N52" s="3" t="n">
        <v>16</v>
      </c>
      <c r="O52" s="3" t="n">
        <v>13</v>
      </c>
      <c r="P52" s="3" t="n">
        <v>14</v>
      </c>
      <c r="Q52" s="3" t="n">
        <v>12</v>
      </c>
      <c r="R52" s="2" t="s">
        <v>207</v>
      </c>
    </row>
    <row r="53" customFormat="false" ht="15" hidden="false" customHeight="false" outlineLevel="0" collapsed="false">
      <c r="A53" s="2" t="s">
        <v>199</v>
      </c>
      <c r="B53" s="2" t="s">
        <v>200</v>
      </c>
      <c r="C53" s="2" t="s">
        <v>201</v>
      </c>
      <c r="D53" s="2" t="s">
        <v>21</v>
      </c>
      <c r="E53" s="2" t="s">
        <v>33</v>
      </c>
      <c r="F53" s="2" t="s">
        <v>34</v>
      </c>
      <c r="G53" s="2" t="s">
        <v>35</v>
      </c>
      <c r="H53" s="2" t="s">
        <v>36</v>
      </c>
      <c r="I53" s="2" t="s">
        <v>26</v>
      </c>
      <c r="J53" s="2" t="s">
        <v>208</v>
      </c>
      <c r="K53" s="3" t="n">
        <v>3</v>
      </c>
      <c r="L53" s="2" t="s">
        <v>209</v>
      </c>
      <c r="M53" s="3" t="n">
        <v>26</v>
      </c>
      <c r="N53" s="4" t="n">
        <v>29</v>
      </c>
      <c r="O53" s="3" t="n">
        <v>26</v>
      </c>
      <c r="P53" s="3" t="n">
        <v>24</v>
      </c>
      <c r="Q53" s="3" t="n">
        <v>24</v>
      </c>
      <c r="R53" s="2" t="s">
        <v>210</v>
      </c>
    </row>
    <row r="54" customFormat="false" ht="15" hidden="false" customHeight="false" outlineLevel="0" collapsed="false">
      <c r="A54" s="2" t="s">
        <v>199</v>
      </c>
      <c r="B54" s="2" t="s">
        <v>200</v>
      </c>
      <c r="C54" s="2" t="s">
        <v>201</v>
      </c>
      <c r="D54" s="2" t="s">
        <v>21</v>
      </c>
      <c r="E54" s="2" t="s">
        <v>81</v>
      </c>
      <c r="F54" s="2" t="s">
        <v>82</v>
      </c>
      <c r="G54" s="2" t="s">
        <v>83</v>
      </c>
      <c r="H54" s="2" t="s">
        <v>25</v>
      </c>
      <c r="I54" s="2" t="s">
        <v>26</v>
      </c>
      <c r="J54" s="2" t="s">
        <v>202</v>
      </c>
      <c r="K54" s="3" t="n">
        <v>3</v>
      </c>
      <c r="L54" s="2" t="s">
        <v>203</v>
      </c>
      <c r="M54" s="3" t="n">
        <v>26</v>
      </c>
      <c r="N54" s="4" t="n">
        <v>29</v>
      </c>
      <c r="O54" s="3" t="n">
        <v>26</v>
      </c>
      <c r="P54" s="3" t="n">
        <v>24</v>
      </c>
      <c r="Q54" s="3" t="n">
        <v>24</v>
      </c>
      <c r="R54" s="2" t="s">
        <v>205</v>
      </c>
    </row>
    <row r="55" customFormat="false" ht="15" hidden="false" customHeight="false" outlineLevel="0" collapsed="false">
      <c r="A55" s="2" t="s">
        <v>211</v>
      </c>
      <c r="B55" s="2" t="s">
        <v>212</v>
      </c>
      <c r="C55" s="2" t="s">
        <v>60</v>
      </c>
      <c r="D55" s="2" t="s">
        <v>21</v>
      </c>
      <c r="E55" s="2" t="s">
        <v>22</v>
      </c>
      <c r="F55" s="2" t="s">
        <v>23</v>
      </c>
      <c r="G55" s="2" t="s">
        <v>24</v>
      </c>
      <c r="H55" s="2" t="s">
        <v>25</v>
      </c>
      <c r="I55" s="2" t="s">
        <v>26</v>
      </c>
      <c r="J55" s="2" t="s">
        <v>27</v>
      </c>
      <c r="K55" s="3" t="n">
        <v>0</v>
      </c>
      <c r="L55" s="2" t="s">
        <v>213</v>
      </c>
      <c r="M55" s="3" t="n">
        <v>12</v>
      </c>
      <c r="N55" s="3" t="n">
        <v>12</v>
      </c>
      <c r="O55" s="3" t="n">
        <v>12</v>
      </c>
      <c r="P55" s="3" t="n">
        <v>11</v>
      </c>
      <c r="Q55" s="3" t="n">
        <v>11</v>
      </c>
      <c r="R55" s="2" t="s">
        <v>214</v>
      </c>
    </row>
    <row r="56" customFormat="false" ht="15" hidden="false" customHeight="false" outlineLevel="0" collapsed="false">
      <c r="A56" s="2" t="s">
        <v>215</v>
      </c>
      <c r="B56" s="2" t="s">
        <v>212</v>
      </c>
      <c r="C56" s="2" t="s">
        <v>60</v>
      </c>
      <c r="D56" s="2" t="s">
        <v>21</v>
      </c>
      <c r="E56" s="2" t="s">
        <v>22</v>
      </c>
      <c r="F56" s="2" t="s">
        <v>23</v>
      </c>
      <c r="G56" s="2" t="s">
        <v>24</v>
      </c>
      <c r="H56" s="2" t="s">
        <v>25</v>
      </c>
      <c r="I56" s="2" t="s">
        <v>156</v>
      </c>
      <c r="J56" s="2" t="s">
        <v>216</v>
      </c>
      <c r="K56" s="3" t="n">
        <v>2</v>
      </c>
      <c r="L56" s="2" t="s">
        <v>217</v>
      </c>
      <c r="M56" s="3" t="n">
        <v>6</v>
      </c>
      <c r="N56" s="3" t="n">
        <v>8</v>
      </c>
      <c r="O56" s="3" t="n">
        <v>6</v>
      </c>
      <c r="P56" s="3" t="n">
        <v>8</v>
      </c>
      <c r="Q56" s="3" t="n">
        <v>6</v>
      </c>
      <c r="R56" s="2" t="s">
        <v>218</v>
      </c>
    </row>
    <row r="57" customFormat="false" ht="15" hidden="false" customHeight="false" outlineLevel="0" collapsed="false">
      <c r="A57" s="2" t="s">
        <v>211</v>
      </c>
      <c r="B57" s="2" t="s">
        <v>212</v>
      </c>
      <c r="C57" s="2" t="s">
        <v>60</v>
      </c>
      <c r="D57" s="2" t="s">
        <v>21</v>
      </c>
      <c r="E57" s="2" t="s">
        <v>30</v>
      </c>
      <c r="F57" s="2" t="s">
        <v>31</v>
      </c>
      <c r="G57" s="2" t="s">
        <v>32</v>
      </c>
      <c r="H57" s="2" t="s">
        <v>25</v>
      </c>
      <c r="I57" s="2" t="s">
        <v>26</v>
      </c>
      <c r="J57" s="2" t="s">
        <v>27</v>
      </c>
      <c r="K57" s="3" t="n">
        <v>0</v>
      </c>
      <c r="L57" s="2" t="s">
        <v>213</v>
      </c>
      <c r="M57" s="3" t="n">
        <v>12</v>
      </c>
      <c r="N57" s="3" t="n">
        <v>12</v>
      </c>
      <c r="O57" s="3" t="n">
        <v>12</v>
      </c>
      <c r="P57" s="3" t="n">
        <v>11</v>
      </c>
      <c r="Q57" s="3" t="n">
        <v>11</v>
      </c>
      <c r="R57" s="2" t="s">
        <v>219</v>
      </c>
    </row>
    <row r="58" customFormat="false" ht="15" hidden="false" customHeight="false" outlineLevel="0" collapsed="false">
      <c r="A58" s="2" t="s">
        <v>211</v>
      </c>
      <c r="B58" s="2" t="s">
        <v>212</v>
      </c>
      <c r="C58" s="2" t="s">
        <v>60</v>
      </c>
      <c r="D58" s="2" t="s">
        <v>21</v>
      </c>
      <c r="E58" s="2" t="s">
        <v>45</v>
      </c>
      <c r="F58" s="2" t="s">
        <v>46</v>
      </c>
      <c r="G58" s="2" t="s">
        <v>47</v>
      </c>
      <c r="H58" s="2" t="s">
        <v>42</v>
      </c>
      <c r="I58" s="2" t="s">
        <v>26</v>
      </c>
      <c r="J58" s="2" t="s">
        <v>220</v>
      </c>
      <c r="K58" s="3" t="n">
        <v>2</v>
      </c>
      <c r="L58" s="2" t="s">
        <v>221</v>
      </c>
      <c r="M58" s="3" t="n">
        <v>12</v>
      </c>
      <c r="N58" s="3" t="n">
        <v>14</v>
      </c>
      <c r="O58" s="3" t="n">
        <v>12</v>
      </c>
      <c r="P58" s="3" t="n">
        <v>13</v>
      </c>
      <c r="Q58" s="3" t="n">
        <v>11</v>
      </c>
      <c r="R58" s="2" t="s">
        <v>222</v>
      </c>
    </row>
    <row r="59" customFormat="false" ht="15" hidden="false" customHeight="false" outlineLevel="0" collapsed="false">
      <c r="A59" s="2" t="s">
        <v>211</v>
      </c>
      <c r="B59" s="2" t="s">
        <v>212</v>
      </c>
      <c r="C59" s="2" t="s">
        <v>60</v>
      </c>
      <c r="D59" s="2" t="s">
        <v>21</v>
      </c>
      <c r="E59" s="2" t="s">
        <v>81</v>
      </c>
      <c r="F59" s="2" t="s">
        <v>82</v>
      </c>
      <c r="G59" s="2" t="s">
        <v>83</v>
      </c>
      <c r="H59" s="2" t="s">
        <v>25</v>
      </c>
      <c r="I59" s="2" t="s">
        <v>26</v>
      </c>
      <c r="J59" s="2" t="s">
        <v>27</v>
      </c>
      <c r="K59" s="3" t="n">
        <v>0</v>
      </c>
      <c r="L59" s="2" t="s">
        <v>213</v>
      </c>
      <c r="M59" s="3" t="n">
        <v>12</v>
      </c>
      <c r="N59" s="3" t="n">
        <v>12</v>
      </c>
      <c r="O59" s="3" t="n">
        <v>12</v>
      </c>
      <c r="P59" s="3" t="n">
        <v>11</v>
      </c>
      <c r="Q59" s="3" t="n">
        <v>11</v>
      </c>
      <c r="R59" s="2" t="s">
        <v>219</v>
      </c>
    </row>
    <row r="60" customFormat="false" ht="15" hidden="false" customHeight="false" outlineLevel="0" collapsed="false">
      <c r="A60" s="2" t="s">
        <v>223</v>
      </c>
      <c r="B60" s="2" t="s">
        <v>224</v>
      </c>
      <c r="C60" s="2" t="s">
        <v>60</v>
      </c>
      <c r="D60" s="2" t="s">
        <v>21</v>
      </c>
      <c r="E60" s="2" t="s">
        <v>22</v>
      </c>
      <c r="F60" s="2" t="s">
        <v>23</v>
      </c>
      <c r="G60" s="2" t="s">
        <v>24</v>
      </c>
      <c r="H60" s="2" t="s">
        <v>25</v>
      </c>
      <c r="I60" s="2" t="s">
        <v>156</v>
      </c>
      <c r="J60" s="2" t="s">
        <v>225</v>
      </c>
      <c r="K60" s="3" t="n">
        <v>3</v>
      </c>
      <c r="L60" s="2" t="s">
        <v>226</v>
      </c>
      <c r="M60" s="3" t="n">
        <v>6</v>
      </c>
      <c r="N60" s="3" t="n">
        <v>8</v>
      </c>
      <c r="O60" s="3" t="n">
        <v>6</v>
      </c>
      <c r="P60" s="3" t="n">
        <v>8</v>
      </c>
      <c r="Q60" s="3" t="n">
        <v>6</v>
      </c>
      <c r="R60" s="2" t="s">
        <v>227</v>
      </c>
    </row>
    <row r="61" customFormat="false" ht="15" hidden="false" customHeight="false" outlineLevel="0" collapsed="false">
      <c r="A61" s="2" t="s">
        <v>223</v>
      </c>
      <c r="B61" s="2" t="s">
        <v>224</v>
      </c>
      <c r="C61" s="2" t="s">
        <v>60</v>
      </c>
      <c r="D61" s="2" t="s">
        <v>21</v>
      </c>
      <c r="E61" s="2" t="s">
        <v>30</v>
      </c>
      <c r="F61" s="2" t="s">
        <v>31</v>
      </c>
      <c r="G61" s="2" t="s">
        <v>32</v>
      </c>
      <c r="H61" s="2" t="s">
        <v>25</v>
      </c>
      <c r="I61" s="2" t="s">
        <v>156</v>
      </c>
      <c r="J61" s="2" t="s">
        <v>228</v>
      </c>
      <c r="K61" s="3" t="n">
        <v>3</v>
      </c>
      <c r="L61" s="2" t="s">
        <v>229</v>
      </c>
      <c r="M61" s="3" t="n">
        <v>6</v>
      </c>
      <c r="N61" s="3" t="n">
        <v>8</v>
      </c>
      <c r="O61" s="3" t="n">
        <v>6</v>
      </c>
      <c r="P61" s="3" t="n">
        <v>8</v>
      </c>
      <c r="Q61" s="3" t="n">
        <v>6</v>
      </c>
      <c r="R61" s="2" t="s">
        <v>230</v>
      </c>
    </row>
    <row r="62" customFormat="false" ht="15" hidden="false" customHeight="false" outlineLevel="0" collapsed="false">
      <c r="A62" s="2" t="s">
        <v>223</v>
      </c>
      <c r="B62" s="2" t="s">
        <v>224</v>
      </c>
      <c r="C62" s="2" t="s">
        <v>60</v>
      </c>
      <c r="D62" s="2" t="s">
        <v>21</v>
      </c>
      <c r="E62" s="2" t="s">
        <v>33</v>
      </c>
      <c r="F62" s="2" t="s">
        <v>34</v>
      </c>
      <c r="G62" s="2" t="s">
        <v>35</v>
      </c>
      <c r="H62" s="2" t="s">
        <v>36</v>
      </c>
      <c r="I62" s="2" t="s">
        <v>156</v>
      </c>
      <c r="J62" s="2" t="s">
        <v>228</v>
      </c>
      <c r="K62" s="3" t="n">
        <v>3</v>
      </c>
      <c r="L62" s="2" t="s">
        <v>229</v>
      </c>
      <c r="M62" s="3" t="n">
        <v>6</v>
      </c>
      <c r="N62" s="3" t="n">
        <v>8</v>
      </c>
      <c r="O62" s="3" t="n">
        <v>6</v>
      </c>
      <c r="P62" s="3" t="n">
        <v>8</v>
      </c>
      <c r="Q62" s="3" t="n">
        <v>6</v>
      </c>
      <c r="R62" s="2" t="s">
        <v>231</v>
      </c>
    </row>
    <row r="63" customFormat="false" ht="15" hidden="false" customHeight="false" outlineLevel="0" collapsed="false">
      <c r="A63" s="2" t="s">
        <v>223</v>
      </c>
      <c r="B63" s="2" t="s">
        <v>224</v>
      </c>
      <c r="C63" s="2" t="s">
        <v>60</v>
      </c>
      <c r="D63" s="2" t="s">
        <v>21</v>
      </c>
      <c r="E63" s="2" t="s">
        <v>39</v>
      </c>
      <c r="F63" s="2" t="s">
        <v>40</v>
      </c>
      <c r="G63" s="2" t="s">
        <v>41</v>
      </c>
      <c r="H63" s="2" t="s">
        <v>42</v>
      </c>
      <c r="I63" s="2" t="s">
        <v>156</v>
      </c>
      <c r="J63" s="2" t="s">
        <v>228</v>
      </c>
      <c r="K63" s="3" t="n">
        <v>3</v>
      </c>
      <c r="L63" s="2" t="s">
        <v>229</v>
      </c>
      <c r="M63" s="3" t="n">
        <v>6</v>
      </c>
      <c r="N63" s="3" t="n">
        <v>8</v>
      </c>
      <c r="O63" s="3" t="n">
        <v>6</v>
      </c>
      <c r="P63" s="3" t="n">
        <v>8</v>
      </c>
      <c r="Q63" s="3" t="n">
        <v>6</v>
      </c>
      <c r="R63" s="2" t="s">
        <v>232</v>
      </c>
    </row>
    <row r="64" customFormat="false" ht="15" hidden="false" customHeight="false" outlineLevel="0" collapsed="false">
      <c r="A64" s="2" t="s">
        <v>223</v>
      </c>
      <c r="B64" s="2" t="s">
        <v>224</v>
      </c>
      <c r="C64" s="2" t="s">
        <v>60</v>
      </c>
      <c r="D64" s="2" t="s">
        <v>21</v>
      </c>
      <c r="E64" s="2" t="s">
        <v>45</v>
      </c>
      <c r="F64" s="2" t="s">
        <v>46</v>
      </c>
      <c r="G64" s="2" t="s">
        <v>47</v>
      </c>
      <c r="H64" s="2" t="s">
        <v>42</v>
      </c>
      <c r="I64" s="2" t="s">
        <v>156</v>
      </c>
      <c r="J64" s="2" t="s">
        <v>228</v>
      </c>
      <c r="K64" s="3" t="n">
        <v>3</v>
      </c>
      <c r="L64" s="2" t="s">
        <v>229</v>
      </c>
      <c r="M64" s="3" t="n">
        <v>6</v>
      </c>
      <c r="N64" s="3" t="n">
        <v>8</v>
      </c>
      <c r="O64" s="3" t="n">
        <v>6</v>
      </c>
      <c r="P64" s="3" t="n">
        <v>8</v>
      </c>
      <c r="Q64" s="3" t="n">
        <v>6</v>
      </c>
      <c r="R64" s="2" t="s">
        <v>233</v>
      </c>
    </row>
    <row r="65" customFormat="false" ht="15" hidden="false" customHeight="false" outlineLevel="0" collapsed="false">
      <c r="A65" s="2" t="s">
        <v>223</v>
      </c>
      <c r="B65" s="2" t="s">
        <v>224</v>
      </c>
      <c r="C65" s="2" t="s">
        <v>60</v>
      </c>
      <c r="D65" s="2" t="s">
        <v>21</v>
      </c>
      <c r="E65" s="2" t="s">
        <v>81</v>
      </c>
      <c r="F65" s="2" t="s">
        <v>82</v>
      </c>
      <c r="G65" s="2" t="s">
        <v>83</v>
      </c>
      <c r="H65" s="2" t="s">
        <v>25</v>
      </c>
      <c r="I65" s="2" t="s">
        <v>156</v>
      </c>
      <c r="J65" s="2" t="s">
        <v>228</v>
      </c>
      <c r="K65" s="3" t="n">
        <v>3</v>
      </c>
      <c r="L65" s="2" t="s">
        <v>234</v>
      </c>
      <c r="M65" s="3" t="n">
        <v>8</v>
      </c>
      <c r="N65" s="3" t="n">
        <v>10</v>
      </c>
      <c r="O65" s="3" t="n">
        <v>8</v>
      </c>
      <c r="P65" s="3" t="n">
        <v>10</v>
      </c>
      <c r="Q65" s="3" t="n">
        <v>8</v>
      </c>
      <c r="R65" s="2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6" t="s">
        <v>236</v>
      </c>
      <c r="B1" s="6" t="s">
        <v>237</v>
      </c>
      <c r="C1" s="6" t="s">
        <v>238</v>
      </c>
      <c r="D1" s="6" t="s">
        <v>239</v>
      </c>
      <c r="E1" s="6" t="s">
        <v>240</v>
      </c>
      <c r="F1" s="6" t="s">
        <v>241</v>
      </c>
      <c r="G1" s="6" t="s">
        <v>242</v>
      </c>
    </row>
    <row r="2" customFormat="false" ht="15" hidden="false" customHeight="false" outlineLevel="0" collapsed="false">
      <c r="A2" s="2" t="s">
        <v>18</v>
      </c>
      <c r="B2" s="2" t="n">
        <v>26</v>
      </c>
      <c r="C2" s="2" t="n">
        <v>55</v>
      </c>
      <c r="D2" s="2" t="n">
        <v>26</v>
      </c>
      <c r="E2" s="2" t="n">
        <v>52</v>
      </c>
      <c r="F2" s="2" t="n">
        <v>7</v>
      </c>
      <c r="G2" s="2" t="n">
        <f aca="false">C2-B2</f>
        <v>29</v>
      </c>
    </row>
    <row r="3" customFormat="false" ht="15" hidden="false" customHeight="false" outlineLevel="0" collapsed="false">
      <c r="A3" s="2" t="s">
        <v>58</v>
      </c>
      <c r="B3" s="2" t="n">
        <v>5</v>
      </c>
      <c r="C3" s="2" t="n">
        <v>7</v>
      </c>
      <c r="D3" s="2" t="n">
        <v>4</v>
      </c>
      <c r="E3" s="2" t="n">
        <v>6</v>
      </c>
      <c r="F3" s="2" t="n">
        <v>4</v>
      </c>
      <c r="G3" s="2" t="n">
        <f aca="false">C3-B3</f>
        <v>2</v>
      </c>
    </row>
    <row r="4" customFormat="false" ht="15" hidden="false" customHeight="false" outlineLevel="0" collapsed="false">
      <c r="A4" s="2" t="s">
        <v>71</v>
      </c>
      <c r="B4" s="2" t="n">
        <v>17</v>
      </c>
      <c r="C4" s="2" t="n">
        <v>17</v>
      </c>
      <c r="D4" s="2" t="n">
        <v>12</v>
      </c>
      <c r="E4" s="2" t="n">
        <v>12</v>
      </c>
      <c r="F4" s="2" t="n">
        <v>4</v>
      </c>
      <c r="G4" s="2" t="n">
        <f aca="false">C4-B4</f>
        <v>0</v>
      </c>
    </row>
    <row r="5" customFormat="false" ht="15" hidden="false" customHeight="false" outlineLevel="0" collapsed="false">
      <c r="A5" s="2" t="s">
        <v>89</v>
      </c>
      <c r="B5" s="2" t="n">
        <v>13</v>
      </c>
      <c r="C5" s="2" t="n">
        <v>19</v>
      </c>
      <c r="D5" s="2" t="n">
        <v>12</v>
      </c>
      <c r="E5" s="2" t="n">
        <v>12</v>
      </c>
      <c r="F5" s="2" t="n">
        <v>3</v>
      </c>
      <c r="G5" s="2" t="n">
        <f aca="false">C5-B5</f>
        <v>6</v>
      </c>
    </row>
    <row r="6" customFormat="false" ht="15" hidden="false" customHeight="false" outlineLevel="0" collapsed="false">
      <c r="A6" s="2" t="s">
        <v>99</v>
      </c>
      <c r="B6" s="2" t="n">
        <v>5</v>
      </c>
      <c r="C6" s="2" t="n">
        <v>9</v>
      </c>
      <c r="D6" s="2" t="n">
        <v>4</v>
      </c>
      <c r="E6" s="2" t="n">
        <v>6</v>
      </c>
      <c r="F6" s="2" t="n">
        <v>4</v>
      </c>
      <c r="G6" s="2" t="n">
        <f aca="false">C6-B6</f>
        <v>4</v>
      </c>
    </row>
    <row r="7" customFormat="false" ht="15" hidden="false" customHeight="false" outlineLevel="0" collapsed="false">
      <c r="A7" s="2" t="s">
        <v>112</v>
      </c>
      <c r="B7" s="2" t="n">
        <v>7</v>
      </c>
      <c r="C7" s="2" t="n">
        <v>7</v>
      </c>
      <c r="D7" s="2" t="n">
        <v>6</v>
      </c>
      <c r="E7" s="2" t="n">
        <v>6</v>
      </c>
      <c r="F7" s="2" t="n">
        <v>2</v>
      </c>
      <c r="G7" s="2" t="n">
        <f aca="false">C7-B7</f>
        <v>0</v>
      </c>
    </row>
    <row r="8" customFormat="false" ht="15" hidden="false" customHeight="false" outlineLevel="0" collapsed="false">
      <c r="A8" s="2" t="s">
        <v>118</v>
      </c>
      <c r="B8" s="2" t="n">
        <v>26</v>
      </c>
      <c r="C8" s="2" t="n">
        <v>52</v>
      </c>
      <c r="D8" s="2" t="n">
        <v>26</v>
      </c>
      <c r="E8" s="2" t="n">
        <v>52</v>
      </c>
      <c r="F8" s="2" t="n">
        <v>6</v>
      </c>
      <c r="G8" s="2" t="n">
        <f aca="false">C8-B8</f>
        <v>26</v>
      </c>
    </row>
    <row r="9" customFormat="false" ht="15" hidden="false" customHeight="false" outlineLevel="0" collapsed="false">
      <c r="A9" s="2" t="s">
        <v>152</v>
      </c>
      <c r="B9" s="2" t="n">
        <v>8</v>
      </c>
      <c r="C9" s="2" t="n">
        <v>8</v>
      </c>
      <c r="D9" s="2" t="n">
        <v>6</v>
      </c>
      <c r="E9" s="2" t="n">
        <v>6</v>
      </c>
      <c r="F9" s="2" t="n">
        <v>2</v>
      </c>
      <c r="G9" s="2" t="n">
        <f aca="false">C9-B9</f>
        <v>0</v>
      </c>
    </row>
    <row r="10" customFormat="false" ht="15" hidden="false" customHeight="false" outlineLevel="0" collapsed="false">
      <c r="A10" s="2" t="s">
        <v>160</v>
      </c>
      <c r="B10" s="2" t="n">
        <v>29</v>
      </c>
      <c r="C10" s="2" t="n">
        <v>29</v>
      </c>
      <c r="D10" s="2" t="n">
        <v>26</v>
      </c>
      <c r="E10" s="2" t="n">
        <v>26</v>
      </c>
      <c r="F10" s="2" t="n">
        <v>2</v>
      </c>
      <c r="G10" s="2" t="n">
        <f aca="false">C10-B10</f>
        <v>0</v>
      </c>
    </row>
    <row r="11" customFormat="false" ht="15" hidden="false" customHeight="false" outlineLevel="0" collapsed="false">
      <c r="A11" s="2" t="s">
        <v>167</v>
      </c>
      <c r="B11" s="2" t="n">
        <v>12</v>
      </c>
      <c r="C11" s="2" t="n">
        <v>15</v>
      </c>
      <c r="D11" s="2" t="n">
        <v>12</v>
      </c>
      <c r="E11" s="2" t="n">
        <v>12</v>
      </c>
      <c r="F11" s="2" t="n">
        <v>6</v>
      </c>
      <c r="G11" s="2" t="n">
        <f aca="false">C11-B11</f>
        <v>3</v>
      </c>
    </row>
    <row r="12" customFormat="false" ht="15" hidden="false" customHeight="false" outlineLevel="0" collapsed="false">
      <c r="A12" s="2" t="s">
        <v>181</v>
      </c>
      <c r="B12" s="2" t="n">
        <v>12</v>
      </c>
      <c r="C12" s="2" t="n">
        <v>14</v>
      </c>
      <c r="D12" s="2" t="n">
        <v>12</v>
      </c>
      <c r="E12" s="2" t="n">
        <v>12</v>
      </c>
      <c r="F12" s="2" t="n">
        <v>4</v>
      </c>
      <c r="G12" s="2" t="n">
        <f aca="false">C12-B12</f>
        <v>2</v>
      </c>
    </row>
    <row r="13" customFormat="false" ht="15" hidden="false" customHeight="false" outlineLevel="0" collapsed="false">
      <c r="A13" s="2" t="s">
        <v>191</v>
      </c>
      <c r="B13" s="2" t="n">
        <v>52</v>
      </c>
      <c r="C13" s="2" t="n">
        <v>65</v>
      </c>
      <c r="D13" s="2" t="n">
        <v>52</v>
      </c>
      <c r="E13" s="2" t="n">
        <v>52</v>
      </c>
      <c r="F13" s="2" t="n">
        <v>4</v>
      </c>
      <c r="G13" s="2" t="n">
        <f aca="false">C13-B13</f>
        <v>13</v>
      </c>
    </row>
    <row r="14" customFormat="false" ht="15" hidden="false" customHeight="false" outlineLevel="0" collapsed="false">
      <c r="A14" s="2" t="s">
        <v>199</v>
      </c>
      <c r="B14" s="2" t="n">
        <v>16</v>
      </c>
      <c r="C14" s="2" t="n">
        <v>29</v>
      </c>
      <c r="D14" s="2" t="n">
        <v>13</v>
      </c>
      <c r="E14" s="2" t="n">
        <v>26</v>
      </c>
      <c r="F14" s="2" t="n">
        <v>5</v>
      </c>
      <c r="G14" s="2" t="n">
        <f aca="false">C14-B14</f>
        <v>13</v>
      </c>
    </row>
    <row r="15" customFormat="false" ht="15" hidden="false" customHeight="false" outlineLevel="0" collapsed="false">
      <c r="A15" s="2" t="s">
        <v>211</v>
      </c>
      <c r="B15" s="2" t="n">
        <v>12</v>
      </c>
      <c r="C15" s="2" t="n">
        <v>14</v>
      </c>
      <c r="D15" s="2" t="n">
        <v>12</v>
      </c>
      <c r="E15" s="2" t="n">
        <v>12</v>
      </c>
      <c r="F15" s="2" t="n">
        <v>4</v>
      </c>
      <c r="G15" s="2" t="n">
        <f aca="false">C15-B15</f>
        <v>2</v>
      </c>
    </row>
    <row r="16" customFormat="false" ht="15" hidden="false" customHeight="false" outlineLevel="0" collapsed="false">
      <c r="A16" s="2" t="s">
        <v>215</v>
      </c>
      <c r="B16" s="2" t="n">
        <v>8</v>
      </c>
      <c r="C16" s="2" t="n">
        <v>8</v>
      </c>
      <c r="D16" s="2" t="n">
        <v>6</v>
      </c>
      <c r="E16" s="2" t="n">
        <v>6</v>
      </c>
      <c r="F16" s="2" t="n">
        <v>1</v>
      </c>
      <c r="G16" s="2" t="n">
        <f aca="false">C16-B16</f>
        <v>0</v>
      </c>
    </row>
    <row r="17" customFormat="false" ht="15" hidden="false" customHeight="false" outlineLevel="0" collapsed="false">
      <c r="A17" s="2" t="s">
        <v>223</v>
      </c>
      <c r="B17" s="2" t="n">
        <v>8</v>
      </c>
      <c r="C17" s="2" t="n">
        <v>10</v>
      </c>
      <c r="D17" s="2" t="n">
        <v>6</v>
      </c>
      <c r="E17" s="2" t="n">
        <v>8</v>
      </c>
      <c r="F17" s="2" t="n">
        <v>6</v>
      </c>
      <c r="G17" s="2" t="n">
        <f aca="false">C17-B17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2026-01-15T19:33:44Z</dcterms:created>
  <dc:creator>openpyxl</dc:creator>
  <dc:description/>
  <dc:language>en-US</dc:language>
  <cp:lastModifiedBy/>
  <dcterms:modified xsi:type="dcterms:W3CDTF">2026-01-15T19:33:44Z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